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JqJhQyTu9hfVwLrTuf85xoAzvUDfO5D2p6dpoT99ZM="/>
    </ext>
  </extLst>
</workbook>
</file>

<file path=xl/sharedStrings.xml><?xml version="1.0" encoding="utf-8"?>
<sst xmlns="http://schemas.openxmlformats.org/spreadsheetml/2006/main" count="131" uniqueCount="59">
  <si>
    <r>
      <rPr>
        <rFont val="Roboto Mono"/>
        <color theme="1"/>
        <sz val="23.0"/>
      </rPr>
      <t xml:space="preserve">Cálculo de Horas - Historias de Usuario - </t>
    </r>
    <r>
      <rPr>
        <rFont val="Roboto Mono"/>
        <b/>
        <color theme="1"/>
        <sz val="23.0"/>
      </rPr>
      <t>StockVelia</t>
    </r>
  </si>
  <si>
    <t>SPRINT 1</t>
  </si>
  <si>
    <t>Semanas destinadas</t>
  </si>
  <si>
    <t>HISTORIA DE USUARIO</t>
  </si>
  <si>
    <t>PUNTAJE</t>
  </si>
  <si>
    <t>INTEGRANTES</t>
  </si>
  <si>
    <t>DÍAS DEL SPRINT</t>
  </si>
  <si>
    <t>HORAS DEL DÍA</t>
  </si>
  <si>
    <t>CAPACIDAD TOTAL (HORAS)</t>
  </si>
  <si>
    <t xml:space="preserve">VELOCIDAD </t>
  </si>
  <si>
    <t>H1 Registro de Empresa</t>
  </si>
  <si>
    <t>H2 Inicio de Sesión Seguro</t>
  </si>
  <si>
    <t>H3 Cierre de Sesión</t>
  </si>
  <si>
    <t>H4 Modificación de Usuarios</t>
  </si>
  <si>
    <t>SPRINT 2</t>
  </si>
  <si>
    <t>H1 Eliminación (Baja) de Usuarios</t>
  </si>
  <si>
    <t>H2 Control de Acceso por Roles</t>
  </si>
  <si>
    <t>H3 Registro de Productos</t>
  </si>
  <si>
    <t xml:space="preserve">H4 Edición de Productos
</t>
  </si>
  <si>
    <t>SPRINT 3</t>
  </si>
  <si>
    <t>H1 Eliminación de Productos</t>
  </si>
  <si>
    <t>H2 Consulta Básica</t>
  </si>
  <si>
    <t>H3 Registro de Entradas</t>
  </si>
  <si>
    <t>H4 Registro de Salidas</t>
  </si>
  <si>
    <t>SPRINT 4</t>
  </si>
  <si>
    <t xml:space="preserve">H1 Stock en Tiempo Real
</t>
  </si>
  <si>
    <t>H2 Configuración de Mínimo</t>
  </si>
  <si>
    <t>H3 Sistema de Alertas</t>
  </si>
  <si>
    <t>H4 Reportes Generales</t>
  </si>
  <si>
    <t>SPRINT 5</t>
  </si>
  <si>
    <t xml:space="preserve">H1 Filtro por Fechas
</t>
  </si>
  <si>
    <t>H2 Historial Individual</t>
  </si>
  <si>
    <t>H3 Exportación de Datos</t>
  </si>
  <si>
    <t>H4 Búsqueda Avanzada</t>
  </si>
  <si>
    <t>SPRINT 6</t>
  </si>
  <si>
    <t>H1 Registro de Proveedores</t>
  </si>
  <si>
    <t>H2 Vinculación de Productos a Proveedores</t>
  </si>
  <si>
    <t>H3 Registro de Órdenes de Compra Simples</t>
  </si>
  <si>
    <t>H4 Recepción de Pedidos e Ingreso Automático</t>
  </si>
  <si>
    <t>SPRINT 7</t>
  </si>
  <si>
    <t>H1 Base de Datos de Clientes Frecuentes</t>
  </si>
  <si>
    <t>H2 Módulo de Registro de Ventas en Mostrador</t>
  </si>
  <si>
    <t>H3 Generación de Recibos de Venta Internos</t>
  </si>
  <si>
    <t>H4 Control de Métodos de Pago en Caja</t>
  </si>
  <si>
    <t>SPRINT 8</t>
  </si>
  <si>
    <t>H1 Registro de Bajas por Daño o Vencimiento</t>
  </si>
  <si>
    <t>H2 Módulo de Justificación de Mermas Físicas</t>
  </si>
  <si>
    <t>H3 Procesamiento de Devoluciones de Clientes</t>
  </si>
  <si>
    <t>H4 Reintegro de Productos Aptos al Stock</t>
  </si>
  <si>
    <t>SPRINT 9</t>
  </si>
  <si>
    <t>H1 Configuración de Múltiples Almacenes/Sedes</t>
  </si>
  <si>
    <t>H2 Solicitud de Transferencia Interna de Stock</t>
  </si>
  <si>
    <t>H3 Confirmación de Despacho y Envío Inter-sede</t>
  </si>
  <si>
    <t>H4 Ajuste Automático de Existencias Multi-sucursal</t>
  </si>
  <si>
    <t>SPRINT 10</t>
  </si>
  <si>
    <t>H1 Reporte de Valoración de Inventario (Costos)</t>
  </si>
  <si>
    <t>H2 Tablero de Productos de Mayor y Menor Rotación</t>
  </si>
  <si>
    <t>H3 Bitácora Completa de Logs de Usuarios (Auditoría)</t>
  </si>
  <si>
    <t>H4 Generación de Respaldos de Datos Manuales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</si>
</sst>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sz val="18.0"/>
      <color theme="1"/>
      <name val="Roboto Mono"/>
    </font>
    <font>
      <b/>
      <sz val="14.0"/>
      <color theme="1"/>
      <name val="Calibri"/>
    </font>
    <font>
      <sz val="14.0"/>
      <color theme="1"/>
      <name val="Calibri"/>
    </font>
    <font/>
    <font>
      <b/>
      <sz val="14.0"/>
      <color rgb="FFFFFFFF"/>
      <name val="Calibri"/>
    </font>
    <font>
      <b/>
      <sz val="14.0"/>
      <color theme="0"/>
      <name val="Calibri"/>
    </font>
    <font>
      <sz val="11.0"/>
      <color rgb="FF1F1F1F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5B9BD5"/>
        <bgColor rgb="FF5B9BD5"/>
      </patternFill>
    </fill>
  </fills>
  <borders count="1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5" fillId="2" fontId="6" numFmtId="0" xfId="0" applyBorder="1" applyFill="1" applyFont="1"/>
    <xf borderId="6" fillId="2" fontId="6" numFmtId="0" xfId="0" applyAlignment="1" applyBorder="1" applyFont="1">
      <alignment horizontal="center"/>
    </xf>
    <xf borderId="6" fillId="2" fontId="7" numFmtId="0" xfId="0" applyBorder="1" applyFont="1"/>
    <xf borderId="7" fillId="0" fontId="5" numFmtId="0" xfId="0" applyBorder="1" applyFont="1"/>
    <xf borderId="8" fillId="0" fontId="5" numFmtId="0" xfId="0" applyBorder="1" applyFont="1"/>
    <xf borderId="9" fillId="2" fontId="7" numFmtId="0" xfId="0" applyBorder="1" applyFont="1"/>
    <xf borderId="10" fillId="2" fontId="7" numFmtId="0" xfId="0" applyBorder="1" applyFont="1"/>
    <xf borderId="11" fillId="2" fontId="7" numFmtId="0" xfId="0" applyAlignment="1" applyBorder="1" applyFont="1">
      <alignment vertical="center"/>
    </xf>
    <xf borderId="9" fillId="0" fontId="4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10" fillId="0" fontId="4" numFmtId="0" xfId="0" applyAlignment="1" applyBorder="1" applyFont="1">
      <alignment readingOrder="0"/>
    </xf>
    <xf borderId="10" fillId="0" fontId="4" numFmtId="0" xfId="0" applyBorder="1" applyFont="1"/>
    <xf borderId="12" fillId="0" fontId="4" numFmtId="0" xfId="0" applyAlignment="1" applyBorder="1" applyFont="1">
      <alignment horizontal="center" vertical="center"/>
    </xf>
    <xf borderId="13" fillId="0" fontId="5" numFmtId="0" xfId="0" applyBorder="1" applyFont="1"/>
    <xf borderId="14" fillId="0" fontId="4" numFmtId="0" xfId="0" applyAlignment="1" applyBorder="1" applyFont="1">
      <alignment readingOrder="0"/>
    </xf>
    <xf borderId="15" fillId="0" fontId="4" numFmtId="0" xfId="0" applyAlignment="1" applyBorder="1" applyFont="1">
      <alignment readingOrder="0"/>
    </xf>
    <xf borderId="16" fillId="0" fontId="5" numFmtId="0" xfId="0" applyBorder="1" applyFont="1"/>
    <xf borderId="15" fillId="0" fontId="4" numFmtId="0" xfId="0" applyBorder="1" applyFont="1"/>
    <xf borderId="10" fillId="2" fontId="6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9" fillId="2" fontId="6" numFmtId="0" xfId="0" applyAlignment="1" applyBorder="1" applyFont="1">
      <alignment readingOrder="0"/>
    </xf>
    <xf borderId="1" fillId="0" fontId="3" numFmtId="0" xfId="0" applyAlignment="1" applyBorder="1" applyFont="1">
      <alignment readingOrder="0" vertical="bottom"/>
    </xf>
    <xf borderId="2" fillId="0" fontId="9" numFmtId="0" xfId="0" applyAlignment="1" applyBorder="1" applyFont="1">
      <alignment vertical="bottom"/>
    </xf>
    <xf borderId="5" fillId="3" fontId="6" numFmtId="0" xfId="0" applyAlignment="1" applyBorder="1" applyFill="1" applyFont="1">
      <alignment vertical="bottom"/>
    </xf>
    <xf borderId="6" fillId="3" fontId="9" numFmtId="0" xfId="0" applyAlignment="1" applyBorder="1" applyFont="1">
      <alignment vertical="bottom"/>
    </xf>
    <xf borderId="6" fillId="3" fontId="6" numFmtId="0" xfId="0" applyAlignment="1" applyBorder="1" applyFont="1">
      <alignment vertical="bottom"/>
    </xf>
    <xf borderId="9" fillId="3" fontId="6" numFmtId="0" xfId="0" applyAlignment="1" applyBorder="1" applyFont="1">
      <alignment vertical="bottom"/>
    </xf>
    <xf borderId="10" fillId="3" fontId="6" numFmtId="0" xfId="0" applyAlignment="1" applyBorder="1" applyFont="1">
      <alignment vertical="bottom"/>
    </xf>
    <xf borderId="11" fillId="3" fontId="6" numFmtId="0" xfId="0" applyAlignment="1" applyBorder="1" applyFont="1">
      <alignment vertical="center"/>
    </xf>
    <xf borderId="9" fillId="0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horizontal="right" vertical="bottom"/>
    </xf>
    <xf borderId="12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right" readingOrder="0" vertical="bottom"/>
    </xf>
    <xf borderId="14" fillId="0" fontId="4" numFmtId="0" xfId="0" applyAlignment="1" applyBorder="1" applyFont="1">
      <alignment readingOrder="0" vertical="bottom"/>
    </xf>
    <xf borderId="15" fillId="0" fontId="4" numFmtId="0" xfId="0" applyAlignment="1" applyBorder="1" applyFont="1">
      <alignment horizontal="right" readingOrder="0" vertical="bottom"/>
    </xf>
    <xf borderId="15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1.43"/>
    <col customWidth="1" min="3" max="3" width="11.43"/>
    <col customWidth="1" min="4" max="4" width="17.29"/>
    <col customWidth="1" min="5" max="5" width="20.29"/>
    <col customWidth="1" min="6" max="6" width="19.0"/>
    <col customWidth="1" min="7" max="7" width="33.71"/>
    <col customWidth="1" min="8" max="8" width="15.0"/>
    <col customWidth="1" min="9" max="26" width="10.71"/>
  </cols>
  <sheetData>
    <row r="1">
      <c r="H1" s="1"/>
    </row>
    <row r="2">
      <c r="B2" s="2" t="s">
        <v>0</v>
      </c>
    </row>
    <row r="3">
      <c r="H3" s="1"/>
    </row>
    <row r="4">
      <c r="B4" s="3" t="s">
        <v>1</v>
      </c>
      <c r="C4" s="4"/>
      <c r="D4" s="5"/>
      <c r="E4" s="5"/>
      <c r="F4" s="5"/>
      <c r="G4" s="5"/>
      <c r="H4" s="6"/>
    </row>
    <row r="5">
      <c r="B5" s="7" t="s">
        <v>2</v>
      </c>
      <c r="C5" s="8"/>
      <c r="D5" s="9" t="str">
        <f>if(C5&gt;4,"No viable","Viable")</f>
        <v>Viable</v>
      </c>
      <c r="E5" s="9" t="str">
        <f>CONCATENATE("Las semanas destinadas son: "&amp; C5)</f>
        <v>Las semanas destinadas son: </v>
      </c>
      <c r="F5" s="10"/>
      <c r="G5" s="10"/>
      <c r="H5" s="11"/>
    </row>
    <row r="6">
      <c r="B6" s="12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13" t="s">
        <v>8</v>
      </c>
      <c r="H6" s="14" t="s">
        <v>9</v>
      </c>
    </row>
    <row r="7">
      <c r="B7" s="15" t="s">
        <v>10</v>
      </c>
      <c r="C7" s="16">
        <v>5.0</v>
      </c>
      <c r="D7" s="17">
        <v>4.0</v>
      </c>
      <c r="E7" s="17">
        <v>2.0</v>
      </c>
      <c r="F7" s="17">
        <v>5.0</v>
      </c>
      <c r="G7" s="18">
        <f t="shared" ref="G7:G10" si="1">D7*E7*F7</f>
        <v>40</v>
      </c>
      <c r="H7" s="19">
        <f>AVERAGE(C7:C10)</f>
        <v>3.5</v>
      </c>
    </row>
    <row r="8">
      <c r="B8" s="15" t="s">
        <v>11</v>
      </c>
      <c r="C8" s="16">
        <v>3.0</v>
      </c>
      <c r="D8" s="17">
        <v>4.0</v>
      </c>
      <c r="E8" s="17">
        <v>2.0</v>
      </c>
      <c r="F8" s="17">
        <v>5.0</v>
      </c>
      <c r="G8" s="18">
        <f t="shared" si="1"/>
        <v>40</v>
      </c>
      <c r="H8" s="20"/>
    </row>
    <row r="9">
      <c r="B9" s="15" t="s">
        <v>12</v>
      </c>
      <c r="C9" s="17">
        <v>1.0</v>
      </c>
      <c r="D9" s="17">
        <v>4.0</v>
      </c>
      <c r="E9" s="17">
        <v>1.0</v>
      </c>
      <c r="F9" s="17">
        <v>4.0</v>
      </c>
      <c r="G9" s="18">
        <f t="shared" si="1"/>
        <v>16</v>
      </c>
      <c r="H9" s="20"/>
    </row>
    <row r="10" ht="15.75" customHeight="1">
      <c r="B10" s="21" t="s">
        <v>13</v>
      </c>
      <c r="C10" s="22">
        <v>5.0</v>
      </c>
      <c r="D10" s="22">
        <v>4.0</v>
      </c>
      <c r="E10" s="22">
        <v>3.0</v>
      </c>
      <c r="F10" s="22">
        <v>5.0</v>
      </c>
      <c r="G10" s="18">
        <f t="shared" si="1"/>
        <v>60</v>
      </c>
      <c r="H10" s="23"/>
    </row>
    <row r="11" ht="15.75" customHeight="1">
      <c r="H11" s="1"/>
    </row>
    <row r="12" ht="15.75" customHeight="1">
      <c r="B12" s="3" t="s">
        <v>14</v>
      </c>
      <c r="C12" s="4"/>
      <c r="D12" s="5"/>
      <c r="E12" s="5"/>
      <c r="F12" s="5"/>
      <c r="G12" s="5"/>
      <c r="H12" s="6"/>
    </row>
    <row r="13" ht="15.75" customHeight="1">
      <c r="B13" s="7" t="s">
        <v>2</v>
      </c>
      <c r="C13" s="8"/>
      <c r="D13" s="9" t="str">
        <f>if(C13&gt;4,"No viable","Viable")</f>
        <v>Viable</v>
      </c>
      <c r="E13" s="9" t="str">
        <f>CONCATENATE("Las semanas destinadas son: "&amp; C13)</f>
        <v>Las semanas destinadas son: </v>
      </c>
      <c r="F13" s="10"/>
      <c r="G13" s="10"/>
      <c r="H13" s="11"/>
    </row>
    <row r="14" ht="15.75" customHeight="1">
      <c r="B14" s="12" t="s">
        <v>3</v>
      </c>
      <c r="C14" s="13" t="s">
        <v>4</v>
      </c>
      <c r="D14" s="13" t="s">
        <v>5</v>
      </c>
      <c r="E14" s="13" t="s">
        <v>6</v>
      </c>
      <c r="F14" s="13" t="s">
        <v>7</v>
      </c>
      <c r="G14" s="13" t="s">
        <v>8</v>
      </c>
      <c r="H14" s="14" t="s">
        <v>9</v>
      </c>
    </row>
    <row r="15" ht="15.75" customHeight="1">
      <c r="B15" s="15" t="s">
        <v>15</v>
      </c>
      <c r="C15" s="17">
        <v>3.0</v>
      </c>
      <c r="D15" s="17">
        <v>4.0</v>
      </c>
      <c r="E15" s="17">
        <v>2.0</v>
      </c>
      <c r="F15" s="17">
        <v>5.0</v>
      </c>
      <c r="G15" s="18">
        <f t="shared" ref="G15:G18" si="2">D15*E15*F15</f>
        <v>40</v>
      </c>
      <c r="H15" s="19">
        <f>AVERAGE(C15:C18)</f>
        <v>4.25</v>
      </c>
    </row>
    <row r="16" ht="15.75" customHeight="1">
      <c r="B16" s="15" t="s">
        <v>16</v>
      </c>
      <c r="C16" s="17">
        <v>8.0</v>
      </c>
      <c r="D16" s="17">
        <v>4.0</v>
      </c>
      <c r="E16" s="17">
        <v>3.0</v>
      </c>
      <c r="F16" s="17">
        <v>5.0</v>
      </c>
      <c r="G16" s="18">
        <f t="shared" si="2"/>
        <v>60</v>
      </c>
      <c r="H16" s="20"/>
    </row>
    <row r="17" ht="15.75" customHeight="1">
      <c r="B17" s="15" t="s">
        <v>17</v>
      </c>
      <c r="C17" s="17">
        <v>3.0</v>
      </c>
      <c r="D17" s="17">
        <v>4.0</v>
      </c>
      <c r="E17" s="17">
        <v>2.0</v>
      </c>
      <c r="F17" s="17">
        <v>5.0</v>
      </c>
      <c r="G17" s="18">
        <f t="shared" si="2"/>
        <v>40</v>
      </c>
      <c r="H17" s="20"/>
    </row>
    <row r="18" ht="15.75" customHeight="1">
      <c r="B18" s="21" t="s">
        <v>18</v>
      </c>
      <c r="C18" s="22">
        <v>3.0</v>
      </c>
      <c r="D18" s="22">
        <v>4.0</v>
      </c>
      <c r="E18" s="22">
        <v>2.0</v>
      </c>
      <c r="F18" s="22">
        <v>5.0</v>
      </c>
      <c r="G18" s="24">
        <f t="shared" si="2"/>
        <v>40</v>
      </c>
      <c r="H18" s="23"/>
    </row>
    <row r="19" ht="15.75" customHeight="1">
      <c r="H19" s="1"/>
    </row>
    <row r="20" ht="15.75" customHeight="1">
      <c r="B20" s="3" t="s">
        <v>19</v>
      </c>
      <c r="C20" s="4"/>
      <c r="D20" s="5"/>
      <c r="E20" s="5"/>
      <c r="F20" s="5"/>
      <c r="G20" s="5"/>
      <c r="H20" s="6"/>
    </row>
    <row r="21" ht="15.75" customHeight="1">
      <c r="B21" s="7" t="s">
        <v>2</v>
      </c>
      <c r="C21" s="8"/>
      <c r="D21" s="9" t="str">
        <f>if(C21&gt;4,"No viable","Viable")</f>
        <v>Viable</v>
      </c>
      <c r="E21" s="9" t="str">
        <f>CONCATENATE("Las semanas destinadas son: "&amp; C21)</f>
        <v>Las semanas destinadas son: </v>
      </c>
      <c r="F21" s="10"/>
      <c r="G21" s="10"/>
      <c r="H21" s="11"/>
    </row>
    <row r="22" ht="15.75" customHeight="1">
      <c r="B22" s="12" t="s">
        <v>3</v>
      </c>
      <c r="C22" s="13" t="s">
        <v>4</v>
      </c>
      <c r="D22" s="13" t="s">
        <v>5</v>
      </c>
      <c r="E22" s="25" t="s">
        <v>6</v>
      </c>
      <c r="F22" s="13" t="s">
        <v>7</v>
      </c>
      <c r="G22" s="13" t="s">
        <v>8</v>
      </c>
      <c r="H22" s="14" t="s">
        <v>9</v>
      </c>
    </row>
    <row r="23" ht="15.75" customHeight="1">
      <c r="B23" s="15" t="s">
        <v>20</v>
      </c>
      <c r="C23" s="17">
        <v>3.0</v>
      </c>
      <c r="D23" s="17">
        <v>4.0</v>
      </c>
      <c r="E23" s="26">
        <v>2.0</v>
      </c>
      <c r="F23" s="17">
        <v>5.0</v>
      </c>
      <c r="G23" s="18">
        <f>D23*E24*F23</f>
        <v>40</v>
      </c>
      <c r="H23" s="19">
        <f>AVERAGE(C23:C26)</f>
        <v>3.75</v>
      </c>
    </row>
    <row r="24" ht="15.75" customHeight="1">
      <c r="B24" s="15" t="s">
        <v>21</v>
      </c>
      <c r="C24" s="17">
        <v>2.0</v>
      </c>
      <c r="D24" s="17">
        <v>4.0</v>
      </c>
      <c r="E24" s="17">
        <v>2.0</v>
      </c>
      <c r="F24" s="17">
        <v>5.0</v>
      </c>
      <c r="G24" s="18">
        <f t="shared" ref="G24:G26" si="3">D24*E24*F24</f>
        <v>40</v>
      </c>
      <c r="H24" s="20"/>
    </row>
    <row r="25" ht="15.75" customHeight="1">
      <c r="B25" s="15" t="s">
        <v>22</v>
      </c>
      <c r="C25" s="17">
        <v>5.0</v>
      </c>
      <c r="D25" s="17">
        <v>4.0</v>
      </c>
      <c r="E25" s="17">
        <v>3.0</v>
      </c>
      <c r="F25" s="17">
        <v>5.0</v>
      </c>
      <c r="G25" s="18">
        <f t="shared" si="3"/>
        <v>60</v>
      </c>
      <c r="H25" s="20"/>
    </row>
    <row r="26" ht="15.75" customHeight="1">
      <c r="B26" s="21" t="s">
        <v>23</v>
      </c>
      <c r="C26" s="22">
        <v>5.0</v>
      </c>
      <c r="D26" s="22">
        <v>4.0</v>
      </c>
      <c r="E26" s="22">
        <v>3.0</v>
      </c>
      <c r="F26" s="22">
        <v>5.0</v>
      </c>
      <c r="G26" s="24">
        <f t="shared" si="3"/>
        <v>60</v>
      </c>
      <c r="H26" s="23"/>
    </row>
    <row r="27" ht="15.75" customHeight="1">
      <c r="H27" s="1"/>
    </row>
    <row r="28" ht="15.75" customHeight="1">
      <c r="B28" s="3" t="s">
        <v>24</v>
      </c>
      <c r="C28" s="4"/>
      <c r="D28" s="5"/>
      <c r="E28" s="5"/>
      <c r="F28" s="5"/>
      <c r="G28" s="5"/>
      <c r="H28" s="6"/>
    </row>
    <row r="29" ht="15.75" customHeight="1">
      <c r="B29" s="7" t="s">
        <v>2</v>
      </c>
      <c r="C29" s="8"/>
      <c r="D29" s="9" t="str">
        <f>if(C29&gt;4,"No viable","Viable")</f>
        <v>Viable</v>
      </c>
      <c r="E29" s="9" t="str">
        <f>CONCATENATE("Las semanas destinadas son: "&amp; C29)</f>
        <v>Las semanas destinadas son: </v>
      </c>
      <c r="F29" s="10"/>
      <c r="G29" s="10"/>
      <c r="H29" s="11"/>
    </row>
    <row r="30" ht="15.75" customHeight="1">
      <c r="B30" s="12" t="s">
        <v>3</v>
      </c>
      <c r="C30" s="13" t="s">
        <v>4</v>
      </c>
      <c r="D30" s="13" t="s">
        <v>5</v>
      </c>
      <c r="E30" s="13" t="s">
        <v>6</v>
      </c>
      <c r="F30" s="13" t="s">
        <v>7</v>
      </c>
      <c r="G30" s="13" t="s">
        <v>8</v>
      </c>
      <c r="H30" s="14" t="s">
        <v>9</v>
      </c>
    </row>
    <row r="31" ht="15.75" customHeight="1">
      <c r="B31" s="15" t="s">
        <v>25</v>
      </c>
      <c r="C31" s="17">
        <v>8.0</v>
      </c>
      <c r="D31" s="17">
        <v>4.0</v>
      </c>
      <c r="E31" s="17">
        <v>4.0</v>
      </c>
      <c r="F31" s="17">
        <v>5.0</v>
      </c>
      <c r="G31" s="18">
        <f t="shared" ref="G31:G34" si="4">D31*E31*F31</f>
        <v>80</v>
      </c>
      <c r="H31" s="19">
        <f>AVERAGE(C31:C34)</f>
        <v>5.25</v>
      </c>
    </row>
    <row r="32" ht="15.75" customHeight="1">
      <c r="B32" s="15" t="s">
        <v>26</v>
      </c>
      <c r="C32" s="17">
        <v>3.0</v>
      </c>
      <c r="D32" s="17">
        <v>4.0</v>
      </c>
      <c r="E32" s="17">
        <v>2.0</v>
      </c>
      <c r="F32" s="17">
        <v>5.0</v>
      </c>
      <c r="G32" s="18">
        <f t="shared" si="4"/>
        <v>40</v>
      </c>
      <c r="H32" s="20"/>
    </row>
    <row r="33" ht="15.75" customHeight="1">
      <c r="B33" s="15" t="s">
        <v>27</v>
      </c>
      <c r="C33" s="17">
        <v>5.0</v>
      </c>
      <c r="D33" s="17">
        <v>4.0</v>
      </c>
      <c r="E33" s="17">
        <v>3.0</v>
      </c>
      <c r="F33" s="17">
        <v>5.0</v>
      </c>
      <c r="G33" s="18">
        <f t="shared" si="4"/>
        <v>60</v>
      </c>
      <c r="H33" s="20"/>
    </row>
    <row r="34" ht="15.75" customHeight="1">
      <c r="B34" s="21" t="s">
        <v>28</v>
      </c>
      <c r="C34" s="22">
        <v>5.0</v>
      </c>
      <c r="D34" s="22">
        <v>4.0</v>
      </c>
      <c r="E34" s="22">
        <v>3.0</v>
      </c>
      <c r="F34" s="22">
        <v>5.0</v>
      </c>
      <c r="G34" s="24">
        <f t="shared" si="4"/>
        <v>60</v>
      </c>
      <c r="H34" s="23"/>
    </row>
    <row r="35" ht="15.75" customHeight="1">
      <c r="H35" s="1"/>
    </row>
    <row r="36" ht="15.75" customHeight="1">
      <c r="B36" s="27" t="s">
        <v>29</v>
      </c>
      <c r="C36" s="4"/>
      <c r="D36" s="5"/>
      <c r="E36" s="5"/>
      <c r="F36" s="5"/>
      <c r="G36" s="5"/>
      <c r="H36" s="6"/>
    </row>
    <row r="37" ht="15.75" customHeight="1">
      <c r="B37" s="7" t="s">
        <v>2</v>
      </c>
      <c r="C37" s="8"/>
      <c r="D37" s="9" t="str">
        <f>if(C37&gt;4,"No viable","Viable")</f>
        <v>Viable</v>
      </c>
      <c r="E37" s="9" t="str">
        <f>CONCATENATE("Las semanas destinadas son: "&amp; C37)</f>
        <v>Las semanas destinadas son: </v>
      </c>
      <c r="F37" s="10"/>
      <c r="G37" s="10"/>
      <c r="H37" s="11"/>
    </row>
    <row r="38" ht="15.75" customHeight="1">
      <c r="B38" s="12" t="s">
        <v>3</v>
      </c>
      <c r="C38" s="13" t="s">
        <v>4</v>
      </c>
      <c r="D38" s="13" t="s">
        <v>5</v>
      </c>
      <c r="E38" s="13" t="s">
        <v>6</v>
      </c>
      <c r="F38" s="13" t="s">
        <v>7</v>
      </c>
      <c r="G38" s="13" t="s">
        <v>8</v>
      </c>
      <c r="H38" s="14" t="s">
        <v>9</v>
      </c>
    </row>
    <row r="39" ht="15.75" customHeight="1">
      <c r="B39" s="15" t="s">
        <v>30</v>
      </c>
      <c r="C39" s="17">
        <v>3.0</v>
      </c>
      <c r="D39" s="17">
        <v>4.0</v>
      </c>
      <c r="E39" s="17">
        <v>2.0</v>
      </c>
      <c r="F39" s="17">
        <v>5.0</v>
      </c>
      <c r="G39" s="18">
        <f t="shared" ref="G39:G42" si="5">D39*E39*F39</f>
        <v>40</v>
      </c>
      <c r="H39" s="19">
        <f>AVERAGE(C39:C42)</f>
        <v>4.5</v>
      </c>
    </row>
    <row r="40" ht="15.75" customHeight="1">
      <c r="B40" s="15" t="s">
        <v>31</v>
      </c>
      <c r="C40" s="17">
        <v>5.0</v>
      </c>
      <c r="D40" s="17">
        <v>4.0</v>
      </c>
      <c r="E40" s="17">
        <v>3.0</v>
      </c>
      <c r="F40" s="17">
        <v>5.0</v>
      </c>
      <c r="G40" s="18">
        <f t="shared" si="5"/>
        <v>60</v>
      </c>
      <c r="H40" s="20"/>
    </row>
    <row r="41" ht="15.75" customHeight="1">
      <c r="B41" s="15" t="s">
        <v>32</v>
      </c>
      <c r="C41" s="17">
        <v>5.0</v>
      </c>
      <c r="D41" s="17">
        <v>4.0</v>
      </c>
      <c r="E41" s="17">
        <v>3.0</v>
      </c>
      <c r="F41" s="17">
        <v>5.0</v>
      </c>
      <c r="G41" s="18">
        <f t="shared" si="5"/>
        <v>60</v>
      </c>
      <c r="H41" s="20"/>
    </row>
    <row r="42" ht="15.75" customHeight="1">
      <c r="B42" s="21" t="s">
        <v>33</v>
      </c>
      <c r="C42" s="22">
        <v>5.0</v>
      </c>
      <c r="D42" s="22">
        <v>4.0</v>
      </c>
      <c r="E42" s="22">
        <v>3.0</v>
      </c>
      <c r="F42" s="22">
        <v>5.0</v>
      </c>
      <c r="G42" s="24">
        <f t="shared" si="5"/>
        <v>60</v>
      </c>
      <c r="H42" s="23"/>
    </row>
    <row r="43" ht="15.75" customHeight="1">
      <c r="H43" s="1"/>
    </row>
    <row r="44" ht="15.75" customHeight="1">
      <c r="B44" s="27" t="s">
        <v>34</v>
      </c>
      <c r="C44" s="4"/>
      <c r="D44" s="5"/>
      <c r="E44" s="5"/>
      <c r="F44" s="5"/>
      <c r="G44" s="5"/>
      <c r="H44" s="6"/>
    </row>
    <row r="45" ht="15.75" customHeight="1">
      <c r="B45" s="7" t="s">
        <v>2</v>
      </c>
      <c r="C45" s="8"/>
      <c r="D45" s="9" t="str">
        <f>if(C45&gt;4,"No viable","Viable")</f>
        <v>Viable</v>
      </c>
      <c r="E45" s="9" t="str">
        <f>CONCATENATE("Las semanas destinadas son: "&amp; C45)</f>
        <v>Las semanas destinadas son: </v>
      </c>
      <c r="F45" s="10"/>
      <c r="G45" s="10"/>
      <c r="H45" s="11"/>
    </row>
    <row r="46" ht="15.75" customHeight="1">
      <c r="B46" s="28" t="s">
        <v>3</v>
      </c>
      <c r="C46" s="13" t="s">
        <v>4</v>
      </c>
      <c r="D46" s="13" t="s">
        <v>5</v>
      </c>
      <c r="E46" s="13" t="s">
        <v>6</v>
      </c>
      <c r="F46" s="13" t="s">
        <v>7</v>
      </c>
      <c r="G46" s="13" t="s">
        <v>8</v>
      </c>
      <c r="H46" s="14" t="s">
        <v>9</v>
      </c>
    </row>
    <row r="47" ht="15.75" customHeight="1">
      <c r="B47" s="15" t="s">
        <v>35</v>
      </c>
      <c r="C47" s="17">
        <v>3.0</v>
      </c>
      <c r="D47" s="17">
        <v>4.0</v>
      </c>
      <c r="E47" s="17">
        <v>2.0</v>
      </c>
      <c r="F47" s="17">
        <v>5.0</v>
      </c>
      <c r="G47" s="17">
        <v>40.0</v>
      </c>
      <c r="H47" s="19">
        <f>AVERAGE(C47:C50)</f>
        <v>4</v>
      </c>
    </row>
    <row r="48" ht="15.75" customHeight="1">
      <c r="B48" s="15" t="s">
        <v>36</v>
      </c>
      <c r="C48" s="17">
        <v>3.0</v>
      </c>
      <c r="D48" s="17">
        <v>4.0</v>
      </c>
      <c r="E48" s="17">
        <v>2.0</v>
      </c>
      <c r="F48" s="17">
        <v>5.0</v>
      </c>
      <c r="G48" s="18">
        <f t="shared" ref="G48:G50" si="6">D48*E48*F48</f>
        <v>40</v>
      </c>
      <c r="H48" s="20"/>
    </row>
    <row r="49" ht="15.75" customHeight="1">
      <c r="B49" s="15" t="s">
        <v>37</v>
      </c>
      <c r="C49" s="17">
        <v>5.0</v>
      </c>
      <c r="D49" s="17">
        <v>4.0</v>
      </c>
      <c r="E49" s="17">
        <v>3.0</v>
      </c>
      <c r="F49" s="17">
        <v>5.0</v>
      </c>
      <c r="G49" s="18">
        <f t="shared" si="6"/>
        <v>60</v>
      </c>
      <c r="H49" s="20"/>
    </row>
    <row r="50" ht="15.75" customHeight="1">
      <c r="B50" s="21" t="s">
        <v>38</v>
      </c>
      <c r="C50" s="22">
        <v>5.0</v>
      </c>
      <c r="D50" s="22">
        <v>4.0</v>
      </c>
      <c r="E50" s="22">
        <v>3.0</v>
      </c>
      <c r="F50" s="22">
        <v>5.0</v>
      </c>
      <c r="G50" s="24">
        <f t="shared" si="6"/>
        <v>60</v>
      </c>
      <c r="H50" s="23"/>
    </row>
    <row r="51" ht="15.75" customHeight="1">
      <c r="H51" s="1"/>
    </row>
    <row r="52" ht="15.75" customHeight="1">
      <c r="B52" s="29" t="s">
        <v>39</v>
      </c>
      <c r="C52" s="30"/>
      <c r="D52" s="5"/>
      <c r="E52" s="5"/>
      <c r="F52" s="5"/>
      <c r="G52" s="5"/>
      <c r="H52" s="6"/>
    </row>
    <row r="53" ht="15.75" customHeight="1">
      <c r="B53" s="31" t="s">
        <v>2</v>
      </c>
      <c r="C53" s="32"/>
      <c r="D53" s="33" t="str">
        <f>IF(C53&gt;4,"No viable","Viable")</f>
        <v>Viable</v>
      </c>
      <c r="E53" s="33" t="str">
        <f>CONCATENATE("Las semanas destinadas son: "&amp; C53)</f>
        <v>Las semanas destinadas son: </v>
      </c>
      <c r="F53" s="10"/>
      <c r="G53" s="10"/>
      <c r="H53" s="11"/>
    </row>
    <row r="54" ht="15.75" customHeight="1">
      <c r="B54" s="34" t="s">
        <v>3</v>
      </c>
      <c r="C54" s="35" t="s">
        <v>4</v>
      </c>
      <c r="D54" s="35" t="s">
        <v>5</v>
      </c>
      <c r="E54" s="35" t="s">
        <v>6</v>
      </c>
      <c r="F54" s="35" t="s">
        <v>7</v>
      </c>
      <c r="G54" s="35" t="s">
        <v>8</v>
      </c>
      <c r="H54" s="36" t="s">
        <v>9</v>
      </c>
    </row>
    <row r="55" ht="15.75" customHeight="1">
      <c r="B55" s="37" t="s">
        <v>40</v>
      </c>
      <c r="C55" s="38">
        <v>3.0</v>
      </c>
      <c r="D55" s="38">
        <v>4.0</v>
      </c>
      <c r="E55" s="38">
        <v>2.0</v>
      </c>
      <c r="F55" s="38">
        <v>5.0</v>
      </c>
      <c r="G55" s="38">
        <f>D55*E55*F55</f>
        <v>40</v>
      </c>
      <c r="H55" s="39">
        <f>AVERAGE(C55:C58)</f>
        <v>4.75</v>
      </c>
    </row>
    <row r="56" ht="15.75" customHeight="1">
      <c r="B56" s="37" t="s">
        <v>41</v>
      </c>
      <c r="C56" s="40">
        <v>8.0</v>
      </c>
      <c r="D56" s="38">
        <v>4.0</v>
      </c>
      <c r="E56" s="40">
        <v>4.0</v>
      </c>
      <c r="F56" s="38">
        <v>5.0</v>
      </c>
      <c r="G56" s="40">
        <v>80.0</v>
      </c>
      <c r="H56" s="20"/>
    </row>
    <row r="57" ht="15.75" customHeight="1">
      <c r="B57" s="37" t="s">
        <v>42</v>
      </c>
      <c r="C57" s="38">
        <v>5.0</v>
      </c>
      <c r="D57" s="38">
        <v>4.0</v>
      </c>
      <c r="E57" s="38">
        <v>3.0</v>
      </c>
      <c r="F57" s="38">
        <v>5.0</v>
      </c>
      <c r="G57" s="38">
        <f t="shared" ref="G57:G58" si="7">D57*E57*F57</f>
        <v>60</v>
      </c>
      <c r="H57" s="20"/>
    </row>
    <row r="58" ht="15.75" customHeight="1">
      <c r="B58" s="41" t="s">
        <v>43</v>
      </c>
      <c r="C58" s="42">
        <v>3.0</v>
      </c>
      <c r="D58" s="43">
        <v>4.0</v>
      </c>
      <c r="E58" s="42">
        <v>2.0</v>
      </c>
      <c r="F58" s="43">
        <v>5.0</v>
      </c>
      <c r="G58" s="43">
        <f t="shared" si="7"/>
        <v>40</v>
      </c>
      <c r="H58" s="23"/>
    </row>
    <row r="59" ht="15.75" customHeight="1">
      <c r="H59" s="1"/>
    </row>
    <row r="60" ht="15.75" customHeight="1">
      <c r="B60" s="29" t="s">
        <v>44</v>
      </c>
      <c r="C60" s="30"/>
      <c r="D60" s="5"/>
      <c r="E60" s="5"/>
      <c r="F60" s="5"/>
      <c r="G60" s="5"/>
      <c r="H60" s="6"/>
    </row>
    <row r="61" ht="15.75" customHeight="1">
      <c r="B61" s="31" t="s">
        <v>2</v>
      </c>
      <c r="C61" s="32"/>
      <c r="D61" s="33" t="str">
        <f>IF(C61&gt;4,"No viable","Viable")</f>
        <v>Viable</v>
      </c>
      <c r="E61" s="33" t="str">
        <f>CONCATENATE("Las semanas destinadas son: "&amp; C61)</f>
        <v>Las semanas destinadas son: </v>
      </c>
      <c r="F61" s="10"/>
      <c r="G61" s="10"/>
      <c r="H61" s="11"/>
    </row>
    <row r="62" ht="15.75" customHeight="1">
      <c r="B62" s="34" t="s">
        <v>3</v>
      </c>
      <c r="C62" s="35" t="s">
        <v>4</v>
      </c>
      <c r="D62" s="35" t="s">
        <v>5</v>
      </c>
      <c r="E62" s="35" t="s">
        <v>6</v>
      </c>
      <c r="F62" s="35" t="s">
        <v>7</v>
      </c>
      <c r="G62" s="35" t="s">
        <v>8</v>
      </c>
      <c r="H62" s="36" t="s">
        <v>9</v>
      </c>
    </row>
    <row r="63" ht="15.75" customHeight="1">
      <c r="B63" s="37" t="s">
        <v>45</v>
      </c>
      <c r="C63" s="38">
        <v>3.0</v>
      </c>
      <c r="D63" s="38">
        <v>4.0</v>
      </c>
      <c r="E63" s="38">
        <v>2.0</v>
      </c>
      <c r="F63" s="38">
        <v>5.0</v>
      </c>
      <c r="G63" s="38">
        <f t="shared" ref="G63:G66" si="8">D63*E63*F63</f>
        <v>40</v>
      </c>
      <c r="H63" s="39">
        <f>AVERAGE(C63:C66)</f>
        <v>3.5</v>
      </c>
    </row>
    <row r="64" ht="15.75" customHeight="1">
      <c r="B64" s="37" t="s">
        <v>46</v>
      </c>
      <c r="C64" s="40">
        <v>3.0</v>
      </c>
      <c r="D64" s="38">
        <v>4.0</v>
      </c>
      <c r="E64" s="40">
        <v>2.0</v>
      </c>
      <c r="F64" s="38">
        <v>5.0</v>
      </c>
      <c r="G64" s="38">
        <f t="shared" si="8"/>
        <v>40</v>
      </c>
      <c r="H64" s="20"/>
    </row>
    <row r="65" ht="15.75" customHeight="1">
      <c r="B65" s="37" t="s">
        <v>47</v>
      </c>
      <c r="C65" s="38">
        <v>5.0</v>
      </c>
      <c r="D65" s="38">
        <v>4.0</v>
      </c>
      <c r="E65" s="38">
        <v>3.0</v>
      </c>
      <c r="F65" s="38">
        <v>5.0</v>
      </c>
      <c r="G65" s="38">
        <f t="shared" si="8"/>
        <v>60</v>
      </c>
      <c r="H65" s="20"/>
    </row>
    <row r="66" ht="15.75" customHeight="1">
      <c r="B66" s="41" t="s">
        <v>48</v>
      </c>
      <c r="C66" s="42">
        <v>3.0</v>
      </c>
      <c r="D66" s="43">
        <v>4.0</v>
      </c>
      <c r="E66" s="42">
        <v>2.0</v>
      </c>
      <c r="F66" s="43">
        <v>5.0</v>
      </c>
      <c r="G66" s="43">
        <f t="shared" si="8"/>
        <v>40</v>
      </c>
      <c r="H66" s="23"/>
    </row>
    <row r="67" ht="15.75" customHeight="1">
      <c r="H67" s="1"/>
    </row>
    <row r="68" ht="15.75" customHeight="1">
      <c r="B68" s="29" t="s">
        <v>49</v>
      </c>
      <c r="C68" s="30"/>
      <c r="D68" s="5"/>
      <c r="E68" s="5"/>
      <c r="F68" s="5"/>
      <c r="G68" s="5"/>
      <c r="H68" s="6"/>
    </row>
    <row r="69" ht="15.75" customHeight="1">
      <c r="B69" s="31" t="s">
        <v>2</v>
      </c>
      <c r="C69" s="32"/>
      <c r="D69" s="33" t="str">
        <f>IF(C69&gt;4,"No viable","Viable")</f>
        <v>Viable</v>
      </c>
      <c r="E69" s="33" t="str">
        <f>CONCATENATE("Las semanas destinadas son: "&amp; C69)</f>
        <v>Las semanas destinadas son: </v>
      </c>
      <c r="F69" s="10"/>
      <c r="G69" s="10"/>
      <c r="H69" s="11"/>
    </row>
    <row r="70" ht="15.75" customHeight="1">
      <c r="B70" s="34" t="s">
        <v>3</v>
      </c>
      <c r="C70" s="35" t="s">
        <v>4</v>
      </c>
      <c r="D70" s="35" t="s">
        <v>5</v>
      </c>
      <c r="E70" s="35" t="s">
        <v>6</v>
      </c>
      <c r="F70" s="35" t="s">
        <v>7</v>
      </c>
      <c r="G70" s="35" t="s">
        <v>8</v>
      </c>
      <c r="H70" s="36" t="s">
        <v>9</v>
      </c>
    </row>
    <row r="71" ht="15.75" customHeight="1">
      <c r="B71" s="37" t="s">
        <v>50</v>
      </c>
      <c r="C71" s="40">
        <v>5.0</v>
      </c>
      <c r="D71" s="38">
        <v>4.0</v>
      </c>
      <c r="E71" s="40">
        <v>3.0</v>
      </c>
      <c r="F71" s="38">
        <v>5.0</v>
      </c>
      <c r="G71" s="38">
        <f t="shared" ref="G71:G74" si="9">D71*E71*F71</f>
        <v>60</v>
      </c>
      <c r="H71" s="39">
        <f>AVERAGE(C71:C74)</f>
        <v>5.75</v>
      </c>
    </row>
    <row r="72" ht="15.75" customHeight="1">
      <c r="B72" s="37" t="s">
        <v>51</v>
      </c>
      <c r="C72" s="38">
        <v>5.0</v>
      </c>
      <c r="D72" s="38">
        <v>4.0</v>
      </c>
      <c r="E72" s="38">
        <v>3.0</v>
      </c>
      <c r="F72" s="38">
        <v>5.0</v>
      </c>
      <c r="G72" s="38">
        <f t="shared" si="9"/>
        <v>60</v>
      </c>
      <c r="H72" s="20"/>
    </row>
    <row r="73" ht="15.75" customHeight="1">
      <c r="B73" s="37" t="s">
        <v>52</v>
      </c>
      <c r="C73" s="38">
        <v>5.0</v>
      </c>
      <c r="D73" s="38">
        <v>4.0</v>
      </c>
      <c r="E73" s="38">
        <v>3.0</v>
      </c>
      <c r="F73" s="38">
        <v>5.0</v>
      </c>
      <c r="G73" s="38">
        <f t="shared" si="9"/>
        <v>60</v>
      </c>
      <c r="H73" s="20"/>
    </row>
    <row r="74" ht="15.75" customHeight="1">
      <c r="B74" s="41" t="s">
        <v>53</v>
      </c>
      <c r="C74" s="42">
        <v>8.0</v>
      </c>
      <c r="D74" s="43">
        <v>4.0</v>
      </c>
      <c r="E74" s="42">
        <v>4.0</v>
      </c>
      <c r="F74" s="43">
        <v>5.0</v>
      </c>
      <c r="G74" s="43">
        <f t="shared" si="9"/>
        <v>80</v>
      </c>
      <c r="H74" s="23"/>
    </row>
    <row r="75" ht="15.75" customHeight="1">
      <c r="H75" s="1"/>
    </row>
    <row r="76" ht="15.75" customHeight="1">
      <c r="B76" s="29" t="s">
        <v>54</v>
      </c>
      <c r="C76" s="30"/>
      <c r="D76" s="5"/>
      <c r="E76" s="5"/>
      <c r="F76" s="5"/>
      <c r="G76" s="5"/>
      <c r="H76" s="6"/>
    </row>
    <row r="77" ht="15.75" customHeight="1">
      <c r="B77" s="31" t="s">
        <v>2</v>
      </c>
      <c r="C77" s="32"/>
      <c r="D77" s="33" t="str">
        <f>IF(C77&gt;4,"No viable","Viable")</f>
        <v>Viable</v>
      </c>
      <c r="E77" s="33" t="str">
        <f>CONCATENATE("Las semanas destinadas son: "&amp; C77)</f>
        <v>Las semanas destinadas son: </v>
      </c>
      <c r="F77" s="10"/>
      <c r="G77" s="10"/>
      <c r="H77" s="11"/>
    </row>
    <row r="78" ht="15.75" customHeight="1">
      <c r="B78" s="34" t="s">
        <v>3</v>
      </c>
      <c r="C78" s="35" t="s">
        <v>4</v>
      </c>
      <c r="D78" s="35" t="s">
        <v>5</v>
      </c>
      <c r="E78" s="35" t="s">
        <v>6</v>
      </c>
      <c r="F78" s="35" t="s">
        <v>7</v>
      </c>
      <c r="G78" s="35" t="s">
        <v>8</v>
      </c>
      <c r="H78" s="36" t="s">
        <v>9</v>
      </c>
    </row>
    <row r="79" ht="15.75" customHeight="1">
      <c r="B79" s="37" t="s">
        <v>55</v>
      </c>
      <c r="C79" s="40">
        <v>5.0</v>
      </c>
      <c r="D79" s="38">
        <v>4.0</v>
      </c>
      <c r="E79" s="40">
        <v>3.0</v>
      </c>
      <c r="F79" s="38">
        <v>5.0</v>
      </c>
      <c r="G79" s="38">
        <f t="shared" ref="G79:G82" si="10">D79*E79*F79</f>
        <v>60</v>
      </c>
      <c r="H79" s="39">
        <f>AVERAGE(C79:C82)</f>
        <v>4.5</v>
      </c>
    </row>
    <row r="80" ht="15.75" customHeight="1">
      <c r="B80" s="37" t="s">
        <v>56</v>
      </c>
      <c r="C80" s="38">
        <v>5.0</v>
      </c>
      <c r="D80" s="38">
        <v>4.0</v>
      </c>
      <c r="E80" s="38">
        <v>3.0</v>
      </c>
      <c r="F80" s="38">
        <v>5.0</v>
      </c>
      <c r="G80" s="38">
        <f t="shared" si="10"/>
        <v>60</v>
      </c>
      <c r="H80" s="20"/>
    </row>
    <row r="81" ht="15.75" customHeight="1">
      <c r="B81" s="37" t="s">
        <v>57</v>
      </c>
      <c r="C81" s="38">
        <v>5.0</v>
      </c>
      <c r="D81" s="38">
        <v>4.0</v>
      </c>
      <c r="E81" s="38">
        <v>3.0</v>
      </c>
      <c r="F81" s="38">
        <v>5.0</v>
      </c>
      <c r="G81" s="38">
        <f t="shared" si="10"/>
        <v>60</v>
      </c>
      <c r="H81" s="20"/>
    </row>
    <row r="82" ht="15.75" customHeight="1">
      <c r="B82" s="41" t="s">
        <v>58</v>
      </c>
      <c r="C82" s="42">
        <v>3.0</v>
      </c>
      <c r="D82" s="43">
        <v>4.0</v>
      </c>
      <c r="E82" s="42">
        <v>2.0</v>
      </c>
      <c r="F82" s="43">
        <v>5.0</v>
      </c>
      <c r="G82" s="43">
        <f t="shared" si="10"/>
        <v>40</v>
      </c>
      <c r="H82" s="23"/>
    </row>
    <row r="83" ht="15.75" customHeight="1">
      <c r="H83" s="1"/>
    </row>
    <row r="84" ht="15.75" customHeight="1">
      <c r="H84" s="1"/>
    </row>
    <row r="85" ht="15.75" customHeight="1">
      <c r="H85" s="1"/>
    </row>
    <row r="86" ht="15.75" customHeight="1">
      <c r="H86" s="1"/>
    </row>
    <row r="87" ht="15.75" customHeight="1">
      <c r="H87" s="1"/>
    </row>
    <row r="88" ht="15.75" customHeight="1">
      <c r="H88" s="1"/>
    </row>
    <row r="89" ht="15.75" customHeight="1">
      <c r="H89" s="1"/>
    </row>
    <row r="90" ht="15.75" customHeight="1">
      <c r="H90" s="1"/>
    </row>
    <row r="91" ht="15.75" customHeight="1">
      <c r="H91" s="1"/>
    </row>
    <row r="92" ht="15.75" customHeight="1">
      <c r="H92" s="1"/>
    </row>
    <row r="93" ht="15.75" customHeight="1">
      <c r="H93" s="1"/>
    </row>
    <row r="94" ht="15.75" customHeight="1">
      <c r="H94" s="1"/>
    </row>
    <row r="95" ht="15.75" customHeight="1">
      <c r="H95" s="1"/>
    </row>
    <row r="96" ht="15.75" customHeight="1">
      <c r="H96" s="1"/>
    </row>
    <row r="97" ht="15.75" customHeight="1">
      <c r="H97" s="1"/>
    </row>
    <row r="98" ht="15.75" customHeight="1">
      <c r="H98" s="1"/>
    </row>
    <row r="99" ht="15.75" customHeight="1">
      <c r="H99" s="1"/>
    </row>
    <row r="100" ht="15.75" customHeight="1">
      <c r="H100" s="1"/>
    </row>
    <row r="101" ht="15.75" customHeight="1">
      <c r="H101" s="1"/>
    </row>
    <row r="102" ht="15.75" customHeight="1">
      <c r="H102" s="1"/>
    </row>
    <row r="103" ht="15.75" customHeight="1">
      <c r="H103" s="1"/>
    </row>
    <row r="104" ht="15.75" customHeight="1">
      <c r="H104" s="1"/>
    </row>
    <row r="105" ht="15.75" customHeight="1">
      <c r="H105" s="1"/>
    </row>
    <row r="106" ht="15.75" customHeight="1">
      <c r="H106" s="1"/>
    </row>
    <row r="107" ht="15.75" customHeight="1">
      <c r="H107" s="1"/>
    </row>
    <row r="108" ht="15.75" customHeight="1">
      <c r="H108" s="1"/>
    </row>
    <row r="109" ht="15.75" customHeight="1">
      <c r="H109" s="1"/>
    </row>
    <row r="110" ht="15.75" customHeight="1">
      <c r="H110" s="1"/>
    </row>
    <row r="111" ht="15.75" customHeight="1">
      <c r="H111" s="1"/>
    </row>
    <row r="112" ht="15.75" customHeight="1">
      <c r="H112" s="1"/>
    </row>
    <row r="113" ht="15.75" customHeight="1">
      <c r="H113" s="1"/>
    </row>
    <row r="114" ht="15.75" customHeight="1">
      <c r="H114" s="1"/>
    </row>
    <row r="115" ht="15.75" customHeight="1">
      <c r="H115" s="1"/>
    </row>
    <row r="116" ht="15.75" customHeight="1">
      <c r="H116" s="1"/>
    </row>
    <row r="117" ht="15.75" customHeight="1">
      <c r="H117" s="1"/>
    </row>
    <row r="118" ht="15.75" customHeight="1">
      <c r="H118" s="1"/>
    </row>
    <row r="119" ht="15.75" customHeight="1">
      <c r="H119" s="1"/>
    </row>
    <row r="120" ht="15.75" customHeight="1">
      <c r="H120" s="1"/>
    </row>
    <row r="121" ht="15.75" customHeight="1">
      <c r="H121" s="1"/>
    </row>
    <row r="122" ht="15.75" customHeight="1">
      <c r="H122" s="1"/>
    </row>
    <row r="123" ht="15.75" customHeight="1">
      <c r="H123" s="1"/>
    </row>
    <row r="124" ht="15.75" customHeight="1">
      <c r="H124" s="1"/>
    </row>
    <row r="125" ht="15.75" customHeight="1">
      <c r="H125" s="1"/>
    </row>
    <row r="126" ht="15.75" customHeight="1">
      <c r="H126" s="1"/>
    </row>
    <row r="127" ht="15.75" customHeight="1">
      <c r="H127" s="1"/>
    </row>
    <row r="128" ht="15.75" customHeight="1">
      <c r="H128" s="1"/>
    </row>
    <row r="129" ht="15.75" customHeight="1">
      <c r="H129" s="1"/>
    </row>
    <row r="130" ht="15.75" customHeight="1">
      <c r="H130" s="1"/>
    </row>
    <row r="131" ht="15.75" customHeight="1">
      <c r="H131" s="1"/>
    </row>
    <row r="132" ht="15.75" customHeight="1">
      <c r="H132" s="1"/>
    </row>
    <row r="133" ht="15.75" customHeight="1">
      <c r="H133" s="1"/>
    </row>
    <row r="134" ht="15.75" customHeight="1">
      <c r="H134" s="1"/>
    </row>
    <row r="135" ht="15.75" customHeight="1">
      <c r="H135" s="1"/>
    </row>
    <row r="136" ht="15.75" customHeight="1">
      <c r="H136" s="1"/>
    </row>
    <row r="137" ht="15.75" customHeight="1">
      <c r="H137" s="1"/>
    </row>
    <row r="138" ht="15.75" customHeight="1">
      <c r="H138" s="1"/>
    </row>
    <row r="139" ht="15.75" customHeight="1">
      <c r="H139" s="1"/>
    </row>
    <row r="140" ht="15.75" customHeight="1">
      <c r="H140" s="1"/>
    </row>
    <row r="141" ht="15.75" customHeight="1">
      <c r="H141" s="1"/>
    </row>
    <row r="142" ht="15.75" customHeight="1">
      <c r="H142" s="1"/>
    </row>
    <row r="143" ht="15.75" customHeight="1">
      <c r="H143" s="1"/>
    </row>
    <row r="144" ht="15.75" customHeight="1">
      <c r="H144" s="1"/>
    </row>
    <row r="145" ht="15.75" customHeight="1">
      <c r="H145" s="1"/>
    </row>
    <row r="146" ht="15.75" customHeight="1">
      <c r="H146" s="1"/>
    </row>
    <row r="147" ht="15.75" customHeight="1">
      <c r="H147" s="1"/>
    </row>
    <row r="148" ht="15.75" customHeight="1">
      <c r="H148" s="1"/>
    </row>
    <row r="149" ht="15.75" customHeight="1">
      <c r="H149" s="1"/>
    </row>
    <row r="150" ht="15.75" customHeight="1">
      <c r="H150" s="1"/>
    </row>
    <row r="151" ht="15.75" customHeight="1">
      <c r="H151" s="1"/>
    </row>
    <row r="152" ht="15.75" customHeight="1">
      <c r="H152" s="1"/>
    </row>
    <row r="153" ht="15.75" customHeight="1">
      <c r="H153" s="1"/>
    </row>
    <row r="154" ht="15.75" customHeight="1">
      <c r="H154" s="1"/>
    </row>
    <row r="155" ht="15.75" customHeight="1">
      <c r="H155" s="1"/>
    </row>
    <row r="156" ht="15.75" customHeight="1">
      <c r="H156" s="1"/>
    </row>
    <row r="157" ht="15.75" customHeight="1">
      <c r="H157" s="1"/>
    </row>
    <row r="158" ht="15.75" customHeight="1">
      <c r="H158" s="1"/>
    </row>
    <row r="159" ht="15.75" customHeight="1">
      <c r="H159" s="1"/>
    </row>
    <row r="160" ht="15.75" customHeight="1">
      <c r="H160" s="1"/>
    </row>
    <row r="161" ht="15.75" customHeight="1">
      <c r="H161" s="1"/>
    </row>
    <row r="162" ht="15.75" customHeight="1">
      <c r="H162" s="1"/>
    </row>
    <row r="163" ht="15.75" customHeight="1">
      <c r="H163" s="1"/>
    </row>
    <row r="164" ht="15.75" customHeight="1">
      <c r="H164" s="1"/>
    </row>
    <row r="165" ht="15.75" customHeight="1">
      <c r="H165" s="1"/>
    </row>
    <row r="166" ht="15.75" customHeight="1">
      <c r="H166" s="1"/>
    </row>
    <row r="167" ht="15.75" customHeight="1">
      <c r="H167" s="1"/>
    </row>
    <row r="168" ht="15.75" customHeight="1">
      <c r="H168" s="1"/>
    </row>
    <row r="169" ht="15.75" customHeight="1">
      <c r="H169" s="1"/>
    </row>
    <row r="170" ht="15.75" customHeight="1">
      <c r="H170" s="1"/>
    </row>
    <row r="171" ht="15.75" customHeight="1">
      <c r="H171" s="1"/>
    </row>
    <row r="172" ht="15.75" customHeight="1">
      <c r="H172" s="1"/>
    </row>
    <row r="173" ht="15.75" customHeight="1">
      <c r="H173" s="1"/>
    </row>
    <row r="174" ht="15.75" customHeight="1">
      <c r="H174" s="1"/>
    </row>
    <row r="175" ht="15.75" customHeight="1">
      <c r="H175" s="1"/>
    </row>
    <row r="176" ht="15.75" customHeight="1">
      <c r="H176" s="1"/>
    </row>
    <row r="177" ht="15.75" customHeight="1">
      <c r="H177" s="1"/>
    </row>
    <row r="178" ht="15.75" customHeight="1">
      <c r="H178" s="1"/>
    </row>
    <row r="179" ht="15.75" customHeight="1">
      <c r="H179" s="1"/>
    </row>
    <row r="180" ht="15.75" customHeight="1">
      <c r="H180" s="1"/>
    </row>
    <row r="181" ht="15.75" customHeight="1">
      <c r="H181" s="1"/>
    </row>
    <row r="182" ht="15.75" customHeight="1">
      <c r="H182" s="1"/>
    </row>
    <row r="183" ht="15.75" customHeight="1">
      <c r="H183" s="1"/>
    </row>
    <row r="184" ht="15.75" customHeight="1">
      <c r="H184" s="1"/>
    </row>
    <row r="185" ht="15.75" customHeight="1">
      <c r="H185" s="1"/>
    </row>
    <row r="186" ht="15.75" customHeight="1">
      <c r="H186" s="1"/>
    </row>
    <row r="187" ht="15.75" customHeight="1">
      <c r="H187" s="1"/>
    </row>
    <row r="188" ht="15.75" customHeight="1">
      <c r="H188" s="1"/>
    </row>
    <row r="189" ht="15.75" customHeight="1">
      <c r="H189" s="1"/>
    </row>
    <row r="190" ht="15.75" customHeight="1">
      <c r="H190" s="1"/>
    </row>
    <row r="191" ht="15.75" customHeight="1">
      <c r="H191" s="1"/>
    </row>
    <row r="192" ht="15.75" customHeight="1">
      <c r="H192" s="1"/>
    </row>
    <row r="193" ht="15.75" customHeight="1">
      <c r="H193" s="1"/>
    </row>
    <row r="194" ht="15.75" customHeight="1">
      <c r="H194" s="1"/>
    </row>
    <row r="195" ht="15.75" customHeight="1">
      <c r="H195" s="1"/>
    </row>
    <row r="196" ht="15.75" customHeight="1">
      <c r="H196" s="1"/>
    </row>
    <row r="197" ht="15.75" customHeight="1">
      <c r="H197" s="1"/>
    </row>
    <row r="198" ht="15.75" customHeight="1">
      <c r="H198" s="1"/>
    </row>
    <row r="199" ht="15.75" customHeight="1">
      <c r="H199" s="1"/>
    </row>
    <row r="200" ht="15.75" customHeight="1">
      <c r="H200" s="1"/>
    </row>
    <row r="201" ht="15.75" customHeight="1">
      <c r="H201" s="1"/>
    </row>
    <row r="202" ht="15.75" customHeight="1">
      <c r="H202" s="1"/>
    </row>
    <row r="203" ht="15.75" customHeight="1">
      <c r="H203" s="1"/>
    </row>
    <row r="204" ht="15.75" customHeight="1">
      <c r="H204" s="1"/>
    </row>
    <row r="205" ht="15.75" customHeight="1">
      <c r="H205" s="1"/>
    </row>
    <row r="206" ht="15.75" customHeight="1">
      <c r="H206" s="1"/>
    </row>
    <row r="207" ht="15.75" customHeight="1">
      <c r="H207" s="1"/>
    </row>
    <row r="208" ht="15.75" customHeight="1">
      <c r="H208" s="1"/>
    </row>
    <row r="209" ht="15.75" customHeight="1">
      <c r="H209" s="1"/>
    </row>
    <row r="210" ht="15.75" customHeight="1">
      <c r="H210" s="1"/>
    </row>
    <row r="211" ht="15.75" customHeight="1">
      <c r="H211" s="1"/>
    </row>
    <row r="212" ht="15.75" customHeight="1">
      <c r="H212" s="1"/>
    </row>
    <row r="213" ht="15.75" customHeight="1">
      <c r="H213" s="1"/>
    </row>
    <row r="214" ht="15.75" customHeight="1">
      <c r="H214" s="1"/>
    </row>
    <row r="215" ht="15.75" customHeight="1">
      <c r="H215" s="1"/>
    </row>
    <row r="216" ht="15.75" customHeight="1">
      <c r="H216" s="1"/>
    </row>
    <row r="217" ht="15.75" customHeight="1">
      <c r="H217" s="1"/>
    </row>
    <row r="218" ht="15.75" customHeight="1">
      <c r="H218" s="1"/>
    </row>
    <row r="219" ht="15.75" customHeight="1">
      <c r="H219" s="1"/>
    </row>
    <row r="220" ht="15.75" customHeight="1">
      <c r="H220" s="1"/>
    </row>
    <row r="221" ht="15.75" customHeight="1">
      <c r="H221" s="1"/>
    </row>
    <row r="222" ht="15.75" customHeight="1">
      <c r="H222" s="1"/>
    </row>
    <row r="223" ht="15.75" customHeight="1">
      <c r="H223" s="1"/>
    </row>
    <row r="224" ht="15.75" customHeight="1">
      <c r="H224" s="1"/>
    </row>
    <row r="225" ht="15.75" customHeight="1">
      <c r="H225" s="1"/>
    </row>
    <row r="226" ht="15.75" customHeight="1">
      <c r="H226" s="1"/>
    </row>
    <row r="227" ht="15.75" customHeight="1">
      <c r="H227" s="1"/>
    </row>
    <row r="228" ht="15.75" customHeight="1">
      <c r="H228" s="1"/>
    </row>
    <row r="229" ht="15.75" customHeight="1">
      <c r="H229" s="1"/>
    </row>
    <row r="230" ht="15.75" customHeight="1">
      <c r="H230" s="1"/>
    </row>
    <row r="231" ht="15.75" customHeight="1">
      <c r="H231" s="1"/>
    </row>
    <row r="232" ht="15.75" customHeight="1">
      <c r="H232" s="1"/>
    </row>
    <row r="233" ht="15.75" customHeight="1">
      <c r="H233" s="1"/>
    </row>
    <row r="234" ht="15.75" customHeight="1">
      <c r="H234" s="1"/>
    </row>
    <row r="235" ht="15.75" customHeight="1">
      <c r="H235" s="1"/>
    </row>
    <row r="236" ht="15.75" customHeight="1">
      <c r="H236" s="1"/>
    </row>
    <row r="237" ht="15.75" customHeight="1">
      <c r="H237" s="1"/>
    </row>
    <row r="238" ht="15.75" customHeight="1">
      <c r="H238" s="1"/>
    </row>
    <row r="239" ht="15.75" customHeight="1">
      <c r="H239" s="1"/>
    </row>
    <row r="240" ht="15.75" customHeight="1">
      <c r="H240" s="1"/>
    </row>
    <row r="241" ht="15.75" customHeight="1">
      <c r="H241" s="1"/>
    </row>
    <row r="242" ht="15.75" customHeight="1">
      <c r="H242" s="1"/>
    </row>
    <row r="243" ht="15.75" customHeight="1">
      <c r="H243" s="1"/>
    </row>
    <row r="244" ht="15.75" customHeight="1">
      <c r="H244" s="1"/>
    </row>
    <row r="245" ht="15.75" customHeight="1">
      <c r="H245" s="1"/>
    </row>
    <row r="246" ht="15.75" customHeight="1">
      <c r="H246" s="1"/>
    </row>
    <row r="247" ht="15.75" customHeight="1">
      <c r="H247" s="1"/>
    </row>
    <row r="248" ht="15.75" customHeight="1">
      <c r="H248" s="1"/>
    </row>
    <row r="249" ht="15.75" customHeight="1">
      <c r="H249" s="1"/>
    </row>
    <row r="250" ht="15.75" customHeight="1">
      <c r="H250" s="1"/>
    </row>
    <row r="251" ht="15.75" customHeight="1">
      <c r="H251" s="1"/>
    </row>
    <row r="252" ht="15.75" customHeight="1">
      <c r="H252" s="1"/>
    </row>
    <row r="253" ht="15.75" customHeight="1">
      <c r="H253" s="1"/>
    </row>
    <row r="254" ht="15.75" customHeight="1">
      <c r="H254" s="1"/>
    </row>
    <row r="255" ht="15.75" customHeight="1">
      <c r="H255" s="1"/>
    </row>
    <row r="256" ht="15.75" customHeight="1">
      <c r="H256" s="1"/>
    </row>
    <row r="257" ht="15.75" customHeight="1">
      <c r="H257" s="1"/>
    </row>
    <row r="258" ht="15.75" customHeight="1">
      <c r="H258" s="1"/>
    </row>
    <row r="259" ht="15.75" customHeight="1">
      <c r="H259" s="1"/>
    </row>
    <row r="260" ht="15.75" customHeight="1">
      <c r="H260" s="1"/>
    </row>
    <row r="261" ht="15.75" customHeight="1">
      <c r="H261" s="1"/>
    </row>
    <row r="262" ht="15.75" customHeight="1">
      <c r="H262" s="1"/>
    </row>
    <row r="263" ht="15.75" customHeight="1">
      <c r="H263" s="1"/>
    </row>
    <row r="264" ht="15.75" customHeight="1">
      <c r="H264" s="1"/>
    </row>
    <row r="265" ht="15.75" customHeight="1">
      <c r="H265" s="1"/>
    </row>
    <row r="266" ht="15.75" customHeight="1">
      <c r="H266" s="1"/>
    </row>
    <row r="267" ht="15.75" customHeight="1">
      <c r="H267" s="1"/>
    </row>
    <row r="268" ht="15.75" customHeight="1">
      <c r="H268" s="1"/>
    </row>
    <row r="269" ht="15.75" customHeight="1">
      <c r="H269" s="1"/>
    </row>
    <row r="270" ht="15.75" customHeight="1">
      <c r="H270" s="1"/>
    </row>
    <row r="271" ht="15.75" customHeight="1">
      <c r="H271" s="1"/>
    </row>
    <row r="272" ht="15.75" customHeight="1">
      <c r="H272" s="1"/>
    </row>
    <row r="273" ht="15.75" customHeight="1">
      <c r="H273" s="1"/>
    </row>
    <row r="274" ht="15.75" customHeight="1">
      <c r="H274" s="1"/>
    </row>
    <row r="275" ht="15.75" customHeight="1">
      <c r="H275" s="1"/>
    </row>
    <row r="276" ht="15.75" customHeight="1">
      <c r="H276" s="1"/>
    </row>
    <row r="277" ht="15.75" customHeight="1">
      <c r="H277" s="1"/>
    </row>
    <row r="278" ht="15.75" customHeight="1">
      <c r="H278" s="1"/>
    </row>
    <row r="279" ht="15.75" customHeight="1">
      <c r="H279" s="1"/>
    </row>
    <row r="280" ht="15.75" customHeight="1">
      <c r="H280" s="1"/>
    </row>
    <row r="281" ht="15.75" customHeight="1">
      <c r="H281" s="1"/>
    </row>
    <row r="282" ht="15.75" customHeight="1">
      <c r="H282" s="1"/>
    </row>
    <row r="283" ht="15.75" customHeight="1">
      <c r="H283" s="1"/>
    </row>
    <row r="284" ht="15.75" customHeight="1">
      <c r="H284" s="1"/>
    </row>
    <row r="285" ht="15.75" customHeight="1">
      <c r="H285" s="1"/>
    </row>
    <row r="286" ht="15.75" customHeight="1">
      <c r="H286" s="1"/>
    </row>
    <row r="287" ht="15.75" customHeight="1">
      <c r="H287" s="1"/>
    </row>
    <row r="288" ht="15.75" customHeight="1">
      <c r="H288" s="1"/>
    </row>
    <row r="289" ht="15.75" customHeight="1">
      <c r="H289" s="1"/>
    </row>
    <row r="290" ht="15.75" customHeight="1">
      <c r="H290" s="1"/>
    </row>
    <row r="291" ht="15.75" customHeight="1">
      <c r="H291" s="1"/>
    </row>
    <row r="292" ht="15.75" customHeight="1">
      <c r="H292" s="1"/>
    </row>
    <row r="293" ht="15.75" customHeight="1">
      <c r="H293" s="1"/>
    </row>
    <row r="294" ht="15.75" customHeight="1">
      <c r="H294" s="1"/>
    </row>
    <row r="295" ht="15.75" customHeight="1">
      <c r="H295" s="1"/>
    </row>
    <row r="296" ht="15.75" customHeight="1">
      <c r="H296" s="1"/>
    </row>
    <row r="297" ht="15.75" customHeight="1">
      <c r="H297" s="1"/>
    </row>
    <row r="298" ht="15.75" customHeight="1">
      <c r="H298" s="1"/>
    </row>
    <row r="299" ht="15.75" customHeight="1">
      <c r="H299" s="1"/>
    </row>
    <row r="300" ht="15.75" customHeight="1">
      <c r="H300" s="1"/>
    </row>
    <row r="301" ht="15.75" customHeight="1">
      <c r="H301" s="1"/>
    </row>
    <row r="302" ht="15.75" customHeight="1">
      <c r="H302" s="1"/>
    </row>
    <row r="303" ht="15.75" customHeight="1">
      <c r="H303" s="1"/>
    </row>
    <row r="304" ht="15.75" customHeight="1">
      <c r="H304" s="1"/>
    </row>
    <row r="305" ht="15.75" customHeight="1">
      <c r="H305" s="1"/>
    </row>
    <row r="306" ht="15.75" customHeight="1">
      <c r="H306" s="1"/>
    </row>
    <row r="307" ht="15.75" customHeight="1">
      <c r="H307" s="1"/>
    </row>
    <row r="308" ht="15.75" customHeight="1">
      <c r="H308" s="1"/>
    </row>
    <row r="309" ht="15.75" customHeight="1">
      <c r="H309" s="1"/>
    </row>
    <row r="310" ht="15.75" customHeight="1">
      <c r="H310" s="1"/>
    </row>
    <row r="311" ht="15.75" customHeight="1">
      <c r="H311" s="1"/>
    </row>
    <row r="312" ht="15.75" customHeight="1">
      <c r="H312" s="1"/>
    </row>
    <row r="313" ht="15.75" customHeight="1">
      <c r="H313" s="1"/>
    </row>
    <row r="314" ht="15.75" customHeight="1">
      <c r="H314" s="1"/>
    </row>
    <row r="315" ht="15.75" customHeight="1">
      <c r="H315" s="1"/>
    </row>
    <row r="316" ht="15.75" customHeight="1">
      <c r="H316" s="1"/>
    </row>
    <row r="317" ht="15.75" customHeight="1">
      <c r="H317" s="1"/>
    </row>
    <row r="318" ht="15.75" customHeight="1">
      <c r="H318" s="1"/>
    </row>
    <row r="319" ht="15.75" customHeight="1">
      <c r="H319" s="1"/>
    </row>
    <row r="320" ht="15.75" customHeight="1">
      <c r="H320" s="1"/>
    </row>
    <row r="321" ht="15.75" customHeight="1">
      <c r="H321" s="1"/>
    </row>
    <row r="322" ht="15.75" customHeight="1">
      <c r="H322" s="1"/>
    </row>
    <row r="323" ht="15.75" customHeight="1">
      <c r="H323" s="1"/>
    </row>
    <row r="324" ht="15.75" customHeight="1">
      <c r="H324" s="1"/>
    </row>
    <row r="325" ht="15.75" customHeight="1">
      <c r="H325" s="1"/>
    </row>
    <row r="326" ht="15.75" customHeight="1">
      <c r="H326" s="1"/>
    </row>
    <row r="327" ht="15.75" customHeight="1">
      <c r="H327" s="1"/>
    </row>
    <row r="328" ht="15.75" customHeight="1">
      <c r="H328" s="1"/>
    </row>
    <row r="329" ht="15.75" customHeight="1">
      <c r="H329" s="1"/>
    </row>
    <row r="330" ht="15.75" customHeight="1">
      <c r="H330" s="1"/>
    </row>
    <row r="331" ht="15.75" customHeight="1">
      <c r="H331" s="1"/>
    </row>
    <row r="332" ht="15.75" customHeight="1">
      <c r="H332" s="1"/>
    </row>
    <row r="333" ht="15.75" customHeight="1">
      <c r="H333" s="1"/>
    </row>
    <row r="334" ht="15.75" customHeight="1">
      <c r="H334" s="1"/>
    </row>
    <row r="335" ht="15.75" customHeight="1">
      <c r="H335" s="1"/>
    </row>
    <row r="336" ht="15.75" customHeight="1">
      <c r="H336" s="1"/>
    </row>
    <row r="337" ht="15.75" customHeight="1">
      <c r="H337" s="1"/>
    </row>
    <row r="338" ht="15.75" customHeight="1">
      <c r="H338" s="1"/>
    </row>
    <row r="339" ht="15.75" customHeight="1">
      <c r="H339" s="1"/>
    </row>
    <row r="340" ht="15.75" customHeight="1">
      <c r="H340" s="1"/>
    </row>
    <row r="341" ht="15.75" customHeight="1">
      <c r="H341" s="1"/>
    </row>
    <row r="342" ht="15.75" customHeight="1">
      <c r="H342" s="1"/>
    </row>
    <row r="343" ht="15.75" customHeight="1">
      <c r="H343" s="1"/>
    </row>
    <row r="344" ht="15.75" customHeight="1">
      <c r="H344" s="1"/>
    </row>
    <row r="345" ht="15.75" customHeight="1">
      <c r="H345" s="1"/>
    </row>
    <row r="346" ht="15.75" customHeight="1">
      <c r="H346" s="1"/>
    </row>
    <row r="347" ht="15.75" customHeight="1">
      <c r="H347" s="1"/>
    </row>
    <row r="348" ht="15.75" customHeight="1">
      <c r="H348" s="1"/>
    </row>
    <row r="349" ht="15.75" customHeight="1">
      <c r="H349" s="1"/>
    </row>
    <row r="350" ht="15.75" customHeight="1">
      <c r="H350" s="1"/>
    </row>
    <row r="351" ht="15.75" customHeight="1">
      <c r="H351" s="1"/>
    </row>
    <row r="352" ht="15.75" customHeight="1">
      <c r="H352" s="1"/>
    </row>
    <row r="353" ht="15.75" customHeight="1">
      <c r="H353" s="1"/>
    </row>
    <row r="354" ht="15.75" customHeight="1">
      <c r="H354" s="1"/>
    </row>
    <row r="355" ht="15.75" customHeight="1">
      <c r="H355" s="1"/>
    </row>
    <row r="356" ht="15.75" customHeight="1">
      <c r="H356" s="1"/>
    </row>
    <row r="357" ht="15.75" customHeight="1">
      <c r="H357" s="1"/>
    </row>
    <row r="358" ht="15.75" customHeight="1">
      <c r="H358" s="1"/>
    </row>
    <row r="359" ht="15.75" customHeight="1">
      <c r="H359" s="1"/>
    </row>
    <row r="360" ht="15.75" customHeight="1">
      <c r="H360" s="1"/>
    </row>
    <row r="361" ht="15.75" customHeight="1">
      <c r="H361" s="1"/>
    </row>
    <row r="362" ht="15.75" customHeight="1">
      <c r="H362" s="1"/>
    </row>
    <row r="363" ht="15.75" customHeight="1">
      <c r="H363" s="1"/>
    </row>
    <row r="364" ht="15.75" customHeight="1">
      <c r="H364" s="1"/>
    </row>
    <row r="365" ht="15.75" customHeight="1">
      <c r="H365" s="1"/>
    </row>
    <row r="366" ht="15.75" customHeight="1">
      <c r="H366" s="1"/>
    </row>
    <row r="367" ht="15.75" customHeight="1">
      <c r="H367" s="1"/>
    </row>
    <row r="368" ht="15.75" customHeight="1">
      <c r="H368" s="1"/>
    </row>
    <row r="369" ht="15.75" customHeight="1">
      <c r="H369" s="1"/>
    </row>
    <row r="370" ht="15.75" customHeight="1">
      <c r="H370" s="1"/>
    </row>
    <row r="371" ht="15.75" customHeight="1">
      <c r="H371" s="1"/>
    </row>
    <row r="372" ht="15.75" customHeight="1">
      <c r="H372" s="1"/>
    </row>
    <row r="373" ht="15.75" customHeight="1">
      <c r="H373" s="1"/>
    </row>
    <row r="374" ht="15.75" customHeight="1">
      <c r="H374" s="1"/>
    </row>
    <row r="375" ht="15.75" customHeight="1">
      <c r="H375" s="1"/>
    </row>
    <row r="376" ht="15.75" customHeight="1">
      <c r="H376" s="1"/>
    </row>
    <row r="377" ht="15.75" customHeight="1">
      <c r="H377" s="1"/>
    </row>
    <row r="378" ht="15.75" customHeight="1">
      <c r="H378" s="1"/>
    </row>
    <row r="379" ht="15.75" customHeight="1">
      <c r="H379" s="1"/>
    </row>
    <row r="380" ht="15.75" customHeight="1">
      <c r="H380" s="1"/>
    </row>
    <row r="381" ht="15.75" customHeight="1">
      <c r="H381" s="1"/>
    </row>
    <row r="382" ht="15.75" customHeight="1">
      <c r="H382" s="1"/>
    </row>
    <row r="383" ht="15.75" customHeight="1">
      <c r="H383" s="1"/>
    </row>
    <row r="384" ht="15.75" customHeight="1">
      <c r="H384" s="1"/>
    </row>
    <row r="385" ht="15.75" customHeight="1">
      <c r="H385" s="1"/>
    </row>
    <row r="386" ht="15.75" customHeight="1">
      <c r="H386" s="1"/>
    </row>
    <row r="387" ht="15.75" customHeight="1">
      <c r="H387" s="1"/>
    </row>
    <row r="388" ht="15.75" customHeight="1">
      <c r="H388" s="1"/>
    </row>
    <row r="389" ht="15.75" customHeight="1">
      <c r="H389" s="1"/>
    </row>
    <row r="390" ht="15.75" customHeight="1">
      <c r="H390" s="1"/>
    </row>
    <row r="391" ht="15.75" customHeight="1">
      <c r="H391" s="1"/>
    </row>
    <row r="392" ht="15.75" customHeight="1">
      <c r="H392" s="1"/>
    </row>
    <row r="393" ht="15.75" customHeight="1">
      <c r="H393" s="1"/>
    </row>
    <row r="394" ht="15.75" customHeight="1">
      <c r="H394" s="1"/>
    </row>
    <row r="395" ht="15.75" customHeight="1">
      <c r="H395" s="1"/>
    </row>
    <row r="396" ht="15.75" customHeight="1">
      <c r="H396" s="1"/>
    </row>
    <row r="397" ht="15.75" customHeight="1">
      <c r="H397" s="1"/>
    </row>
    <row r="398" ht="15.75" customHeight="1">
      <c r="H398" s="1"/>
    </row>
    <row r="399" ht="15.75" customHeight="1">
      <c r="H399" s="1"/>
    </row>
    <row r="400" ht="15.75" customHeight="1">
      <c r="H400" s="1"/>
    </row>
    <row r="401" ht="15.75" customHeight="1">
      <c r="H401" s="1"/>
    </row>
    <row r="402" ht="15.75" customHeight="1">
      <c r="H402" s="1"/>
    </row>
    <row r="403" ht="15.75" customHeight="1">
      <c r="H403" s="1"/>
    </row>
    <row r="404" ht="15.75" customHeight="1">
      <c r="H404" s="1"/>
    </row>
    <row r="405" ht="15.75" customHeight="1">
      <c r="H405" s="1"/>
    </row>
    <row r="406" ht="15.75" customHeight="1">
      <c r="H406" s="1"/>
    </row>
    <row r="407" ht="15.75" customHeight="1">
      <c r="H407" s="1"/>
    </row>
    <row r="408" ht="15.75" customHeight="1">
      <c r="H408" s="1"/>
    </row>
    <row r="409" ht="15.75" customHeight="1">
      <c r="H409" s="1"/>
    </row>
    <row r="410" ht="15.75" customHeight="1">
      <c r="H410" s="1"/>
    </row>
    <row r="411" ht="15.75" customHeight="1">
      <c r="H411" s="1"/>
    </row>
    <row r="412" ht="15.75" customHeight="1">
      <c r="H412" s="1"/>
    </row>
    <row r="413" ht="15.75" customHeight="1">
      <c r="H413" s="1"/>
    </row>
    <row r="414" ht="15.75" customHeight="1">
      <c r="H414" s="1"/>
    </row>
    <row r="415" ht="15.75" customHeight="1">
      <c r="H415" s="1"/>
    </row>
    <row r="416" ht="15.75" customHeight="1">
      <c r="H416" s="1"/>
    </row>
    <row r="417" ht="15.75" customHeight="1">
      <c r="H417" s="1"/>
    </row>
    <row r="418" ht="15.75" customHeight="1">
      <c r="H418" s="1"/>
    </row>
    <row r="419" ht="15.75" customHeight="1">
      <c r="H419" s="1"/>
    </row>
    <row r="420" ht="15.75" customHeight="1">
      <c r="H420" s="1"/>
    </row>
    <row r="421" ht="15.75" customHeight="1">
      <c r="H421" s="1"/>
    </row>
    <row r="422" ht="15.75" customHeight="1">
      <c r="H422" s="1"/>
    </row>
    <row r="423" ht="15.75" customHeight="1">
      <c r="H423" s="1"/>
    </row>
    <row r="424" ht="15.75" customHeight="1">
      <c r="H424" s="1"/>
    </row>
    <row r="425" ht="15.75" customHeight="1">
      <c r="H425" s="1"/>
    </row>
    <row r="426" ht="15.75" customHeight="1">
      <c r="H426" s="1"/>
    </row>
    <row r="427" ht="15.75" customHeight="1">
      <c r="H427" s="1"/>
    </row>
    <row r="428" ht="15.75" customHeight="1">
      <c r="H428" s="1"/>
    </row>
    <row r="429" ht="15.75" customHeight="1">
      <c r="H429" s="1"/>
    </row>
    <row r="430" ht="15.75" customHeight="1">
      <c r="H430" s="1"/>
    </row>
    <row r="431" ht="15.75" customHeight="1">
      <c r="H431" s="1"/>
    </row>
    <row r="432" ht="15.75" customHeight="1">
      <c r="H432" s="1"/>
    </row>
    <row r="433" ht="15.75" customHeight="1">
      <c r="H433" s="1"/>
    </row>
    <row r="434" ht="15.75" customHeight="1">
      <c r="H434" s="1"/>
    </row>
    <row r="435" ht="15.75" customHeight="1">
      <c r="H435" s="1"/>
    </row>
    <row r="436" ht="15.75" customHeight="1">
      <c r="H436" s="1"/>
    </row>
    <row r="437" ht="15.75" customHeight="1">
      <c r="H437" s="1"/>
    </row>
    <row r="438" ht="15.75" customHeight="1">
      <c r="H438" s="1"/>
    </row>
    <row r="439" ht="15.75" customHeight="1">
      <c r="H439" s="1"/>
    </row>
    <row r="440" ht="15.75" customHeight="1">
      <c r="H440" s="1"/>
    </row>
    <row r="441" ht="15.75" customHeight="1">
      <c r="H441" s="1"/>
    </row>
    <row r="442" ht="15.75" customHeight="1">
      <c r="H442" s="1"/>
    </row>
    <row r="443" ht="15.75" customHeight="1">
      <c r="H443" s="1"/>
    </row>
    <row r="444" ht="15.75" customHeight="1">
      <c r="H444" s="1"/>
    </row>
    <row r="445" ht="15.75" customHeight="1">
      <c r="H445" s="1"/>
    </row>
    <row r="446" ht="15.75" customHeight="1">
      <c r="H446" s="1"/>
    </row>
    <row r="447" ht="15.75" customHeight="1">
      <c r="H447" s="1"/>
    </row>
    <row r="448" ht="15.75" customHeight="1">
      <c r="H448" s="1"/>
    </row>
    <row r="449" ht="15.75" customHeight="1">
      <c r="H449" s="1"/>
    </row>
    <row r="450" ht="15.75" customHeight="1">
      <c r="H450" s="1"/>
    </row>
    <row r="451" ht="15.75" customHeight="1">
      <c r="H451" s="1"/>
    </row>
    <row r="452" ht="15.75" customHeight="1">
      <c r="H452" s="1"/>
    </row>
    <row r="453" ht="15.75" customHeight="1">
      <c r="H453" s="1"/>
    </row>
    <row r="454" ht="15.75" customHeight="1">
      <c r="H454" s="1"/>
    </row>
    <row r="455" ht="15.75" customHeight="1">
      <c r="H455" s="1"/>
    </row>
    <row r="456" ht="15.75" customHeight="1">
      <c r="H456" s="1"/>
    </row>
    <row r="457" ht="15.75" customHeight="1">
      <c r="H457" s="1"/>
    </row>
    <row r="458" ht="15.75" customHeight="1">
      <c r="H458" s="1"/>
    </row>
    <row r="459" ht="15.75" customHeight="1">
      <c r="H459" s="1"/>
    </row>
    <row r="460" ht="15.75" customHeight="1">
      <c r="H460" s="1"/>
    </row>
    <row r="461" ht="15.75" customHeight="1">
      <c r="H461" s="1"/>
    </row>
    <row r="462" ht="15.75" customHeight="1">
      <c r="H462" s="1"/>
    </row>
    <row r="463" ht="15.75" customHeight="1">
      <c r="H463" s="1"/>
    </row>
    <row r="464" ht="15.75" customHeight="1">
      <c r="H464" s="1"/>
    </row>
    <row r="465" ht="15.75" customHeight="1">
      <c r="H465" s="1"/>
    </row>
    <row r="466" ht="15.75" customHeight="1">
      <c r="H466" s="1"/>
    </row>
    <row r="467" ht="15.75" customHeight="1">
      <c r="H467" s="1"/>
    </row>
    <row r="468" ht="15.75" customHeight="1">
      <c r="H468" s="1"/>
    </row>
    <row r="469" ht="15.75" customHeight="1">
      <c r="H469" s="1"/>
    </row>
    <row r="470" ht="15.75" customHeight="1">
      <c r="H470" s="1"/>
    </row>
    <row r="471" ht="15.75" customHeight="1">
      <c r="H471" s="1"/>
    </row>
    <row r="472" ht="15.75" customHeight="1">
      <c r="H472" s="1"/>
    </row>
    <row r="473" ht="15.75" customHeight="1">
      <c r="H473" s="1"/>
    </row>
    <row r="474" ht="15.75" customHeight="1">
      <c r="H474" s="1"/>
    </row>
    <row r="475" ht="15.75" customHeight="1">
      <c r="H475" s="1"/>
    </row>
    <row r="476" ht="15.75" customHeight="1">
      <c r="H476" s="1"/>
    </row>
    <row r="477" ht="15.75" customHeight="1">
      <c r="H477" s="1"/>
    </row>
    <row r="478" ht="15.75" customHeight="1">
      <c r="H478" s="1"/>
    </row>
    <row r="479" ht="15.75" customHeight="1">
      <c r="H479" s="1"/>
    </row>
    <row r="480" ht="15.75" customHeight="1">
      <c r="H480" s="1"/>
    </row>
    <row r="481" ht="15.75" customHeight="1">
      <c r="H481" s="1"/>
    </row>
    <row r="482" ht="15.75" customHeight="1">
      <c r="H482" s="1"/>
    </row>
    <row r="483" ht="15.75" customHeight="1">
      <c r="H483" s="1"/>
    </row>
    <row r="484" ht="15.75" customHeight="1">
      <c r="H484" s="1"/>
    </row>
    <row r="485" ht="15.75" customHeight="1">
      <c r="H485" s="1"/>
    </row>
    <row r="486" ht="15.75" customHeight="1">
      <c r="H486" s="1"/>
    </row>
    <row r="487" ht="15.75" customHeight="1">
      <c r="H487" s="1"/>
    </row>
    <row r="488" ht="15.75" customHeight="1">
      <c r="H488" s="1"/>
    </row>
    <row r="489" ht="15.75" customHeight="1">
      <c r="H489" s="1"/>
    </row>
    <row r="490" ht="15.75" customHeight="1">
      <c r="H490" s="1"/>
    </row>
    <row r="491" ht="15.75" customHeight="1">
      <c r="H491" s="1"/>
    </row>
    <row r="492" ht="15.75" customHeight="1">
      <c r="H492" s="1"/>
    </row>
    <row r="493" ht="15.75" customHeight="1">
      <c r="H493" s="1"/>
    </row>
    <row r="494" ht="15.75" customHeight="1">
      <c r="H494" s="1"/>
    </row>
    <row r="495" ht="15.75" customHeight="1">
      <c r="H495" s="1"/>
    </row>
    <row r="496" ht="15.75" customHeight="1">
      <c r="H496" s="1"/>
    </row>
    <row r="497" ht="15.75" customHeight="1">
      <c r="H497" s="1"/>
    </row>
    <row r="498" ht="15.75" customHeight="1">
      <c r="H498" s="1"/>
    </row>
    <row r="499" ht="15.75" customHeight="1">
      <c r="H499" s="1"/>
    </row>
    <row r="500" ht="15.75" customHeight="1">
      <c r="H500" s="1"/>
    </row>
    <row r="501" ht="15.75" customHeight="1">
      <c r="H501" s="1"/>
    </row>
    <row r="502" ht="15.75" customHeight="1">
      <c r="H502" s="1"/>
    </row>
    <row r="503" ht="15.75" customHeight="1">
      <c r="H503" s="1"/>
    </row>
    <row r="504" ht="15.75" customHeight="1">
      <c r="H504" s="1"/>
    </row>
    <row r="505" ht="15.75" customHeight="1">
      <c r="H505" s="1"/>
    </row>
    <row r="506" ht="15.75" customHeight="1">
      <c r="H506" s="1"/>
    </row>
    <row r="507" ht="15.75" customHeight="1">
      <c r="H507" s="1"/>
    </row>
    <row r="508" ht="15.75" customHeight="1">
      <c r="H508" s="1"/>
    </row>
    <row r="509" ht="15.75" customHeight="1">
      <c r="H509" s="1"/>
    </row>
    <row r="510" ht="15.75" customHeight="1">
      <c r="H510" s="1"/>
    </row>
    <row r="511" ht="15.75" customHeight="1">
      <c r="H511" s="1"/>
    </row>
    <row r="512" ht="15.75" customHeight="1">
      <c r="H512" s="1"/>
    </row>
    <row r="513" ht="15.75" customHeight="1">
      <c r="H513" s="1"/>
    </row>
    <row r="514" ht="15.75" customHeight="1">
      <c r="H514" s="1"/>
    </row>
    <row r="515" ht="15.75" customHeight="1">
      <c r="H515" s="1"/>
    </row>
    <row r="516" ht="15.75" customHeight="1">
      <c r="H516" s="1"/>
    </row>
    <row r="517" ht="15.75" customHeight="1">
      <c r="H517" s="1"/>
    </row>
    <row r="518" ht="15.75" customHeight="1">
      <c r="H518" s="1"/>
    </row>
    <row r="519" ht="15.75" customHeight="1">
      <c r="H519" s="1"/>
    </row>
    <row r="520" ht="15.75" customHeight="1">
      <c r="H520" s="1"/>
    </row>
    <row r="521" ht="15.75" customHeight="1">
      <c r="H521" s="1"/>
    </row>
    <row r="522" ht="15.75" customHeight="1">
      <c r="H522" s="1"/>
    </row>
    <row r="523" ht="15.75" customHeight="1">
      <c r="H523" s="1"/>
    </row>
    <row r="524" ht="15.75" customHeight="1">
      <c r="H524" s="1"/>
    </row>
    <row r="525" ht="15.75" customHeight="1">
      <c r="H525" s="1"/>
    </row>
    <row r="526" ht="15.75" customHeight="1">
      <c r="H526" s="1"/>
    </row>
    <row r="527" ht="15.75" customHeight="1">
      <c r="H527" s="1"/>
    </row>
    <row r="528" ht="15.75" customHeight="1">
      <c r="H528" s="1"/>
    </row>
    <row r="529" ht="15.75" customHeight="1">
      <c r="H529" s="1"/>
    </row>
    <row r="530" ht="15.75" customHeight="1">
      <c r="H530" s="1"/>
    </row>
    <row r="531" ht="15.75" customHeight="1">
      <c r="H531" s="1"/>
    </row>
    <row r="532" ht="15.75" customHeight="1">
      <c r="H532" s="1"/>
    </row>
    <row r="533" ht="15.75" customHeight="1">
      <c r="H533" s="1"/>
    </row>
    <row r="534" ht="15.75" customHeight="1">
      <c r="H534" s="1"/>
    </row>
    <row r="535" ht="15.75" customHeight="1">
      <c r="H535" s="1"/>
    </row>
    <row r="536" ht="15.75" customHeight="1">
      <c r="H536" s="1"/>
    </row>
    <row r="537" ht="15.75" customHeight="1">
      <c r="H537" s="1"/>
    </row>
    <row r="538" ht="15.75" customHeight="1">
      <c r="H538" s="1"/>
    </row>
    <row r="539" ht="15.75" customHeight="1">
      <c r="H539" s="1"/>
    </row>
    <row r="540" ht="15.75" customHeight="1">
      <c r="H540" s="1"/>
    </row>
    <row r="541" ht="15.75" customHeight="1">
      <c r="H541" s="1"/>
    </row>
    <row r="542" ht="15.75" customHeight="1">
      <c r="H542" s="1"/>
    </row>
    <row r="543" ht="15.75" customHeight="1">
      <c r="H543" s="1"/>
    </row>
    <row r="544" ht="15.75" customHeight="1">
      <c r="H544" s="1"/>
    </row>
    <row r="545" ht="15.75" customHeight="1">
      <c r="H545" s="1"/>
    </row>
    <row r="546" ht="15.75" customHeight="1">
      <c r="H546" s="1"/>
    </row>
    <row r="547" ht="15.75" customHeight="1">
      <c r="H547" s="1"/>
    </row>
    <row r="548" ht="15.75" customHeight="1">
      <c r="H548" s="1"/>
    </row>
    <row r="549" ht="15.75" customHeight="1">
      <c r="H549" s="1"/>
    </row>
    <row r="550" ht="15.75" customHeight="1">
      <c r="H550" s="1"/>
    </row>
    <row r="551" ht="15.75" customHeight="1">
      <c r="H551" s="1"/>
    </row>
    <row r="552" ht="15.75" customHeight="1">
      <c r="H552" s="1"/>
    </row>
    <row r="553" ht="15.75" customHeight="1">
      <c r="H553" s="1"/>
    </row>
    <row r="554" ht="15.75" customHeight="1">
      <c r="H554" s="1"/>
    </row>
    <row r="555" ht="15.75" customHeight="1">
      <c r="H555" s="1"/>
    </row>
    <row r="556" ht="15.75" customHeight="1">
      <c r="H556" s="1"/>
    </row>
    <row r="557" ht="15.75" customHeight="1">
      <c r="H557" s="1"/>
    </row>
    <row r="558" ht="15.75" customHeight="1">
      <c r="H558" s="1"/>
    </row>
    <row r="559" ht="15.75" customHeight="1">
      <c r="H559" s="1"/>
    </row>
    <row r="560" ht="15.75" customHeight="1">
      <c r="H560" s="1"/>
    </row>
    <row r="561" ht="15.75" customHeight="1">
      <c r="H561" s="1"/>
    </row>
    <row r="562" ht="15.75" customHeight="1">
      <c r="H562" s="1"/>
    </row>
    <row r="563" ht="15.75" customHeight="1">
      <c r="H563" s="1"/>
    </row>
    <row r="564" ht="15.75" customHeight="1">
      <c r="H564" s="1"/>
    </row>
    <row r="565" ht="15.75" customHeight="1">
      <c r="H565" s="1"/>
    </row>
    <row r="566" ht="15.75" customHeight="1">
      <c r="H566" s="1"/>
    </row>
    <row r="567" ht="15.75" customHeight="1">
      <c r="H567" s="1"/>
    </row>
    <row r="568" ht="15.75" customHeight="1">
      <c r="H568" s="1"/>
    </row>
    <row r="569" ht="15.75" customHeight="1">
      <c r="H569" s="1"/>
    </row>
    <row r="570" ht="15.75" customHeight="1">
      <c r="H570" s="1"/>
    </row>
    <row r="571" ht="15.75" customHeight="1">
      <c r="H571" s="1"/>
    </row>
    <row r="572" ht="15.75" customHeight="1">
      <c r="H572" s="1"/>
    </row>
    <row r="573" ht="15.75" customHeight="1">
      <c r="H573" s="1"/>
    </row>
    <row r="574" ht="15.75" customHeight="1">
      <c r="H574" s="1"/>
    </row>
    <row r="575" ht="15.75" customHeight="1">
      <c r="H575" s="1"/>
    </row>
    <row r="576" ht="15.75" customHeight="1">
      <c r="H576" s="1"/>
    </row>
    <row r="577" ht="15.75" customHeight="1">
      <c r="H577" s="1"/>
    </row>
    <row r="578" ht="15.75" customHeight="1">
      <c r="H578" s="1"/>
    </row>
    <row r="579" ht="15.75" customHeight="1">
      <c r="H579" s="1"/>
    </row>
    <row r="580" ht="15.75" customHeight="1">
      <c r="H580" s="1"/>
    </row>
    <row r="581" ht="15.75" customHeight="1">
      <c r="H581" s="1"/>
    </row>
    <row r="582" ht="15.75" customHeight="1">
      <c r="H582" s="1"/>
    </row>
    <row r="583" ht="15.75" customHeight="1">
      <c r="H583" s="1"/>
    </row>
    <row r="584" ht="15.75" customHeight="1">
      <c r="H584" s="1"/>
    </row>
    <row r="585" ht="15.75" customHeight="1">
      <c r="H585" s="1"/>
    </row>
    <row r="586" ht="15.75" customHeight="1">
      <c r="H586" s="1"/>
    </row>
    <row r="587" ht="15.75" customHeight="1">
      <c r="H587" s="1"/>
    </row>
    <row r="588" ht="15.75" customHeight="1">
      <c r="H588" s="1"/>
    </row>
    <row r="589" ht="15.75" customHeight="1">
      <c r="H589" s="1"/>
    </row>
    <row r="590" ht="15.75" customHeight="1">
      <c r="H590" s="1"/>
    </row>
    <row r="591" ht="15.75" customHeight="1">
      <c r="H591" s="1"/>
    </row>
    <row r="592" ht="15.75" customHeight="1">
      <c r="H592" s="1"/>
    </row>
    <row r="593" ht="15.75" customHeight="1">
      <c r="H593" s="1"/>
    </row>
    <row r="594" ht="15.75" customHeight="1">
      <c r="H594" s="1"/>
    </row>
    <row r="595" ht="15.75" customHeight="1">
      <c r="H595" s="1"/>
    </row>
    <row r="596" ht="15.75" customHeight="1">
      <c r="H596" s="1"/>
    </row>
    <row r="597" ht="15.75" customHeight="1">
      <c r="H597" s="1"/>
    </row>
    <row r="598" ht="15.75" customHeight="1">
      <c r="H598" s="1"/>
    </row>
    <row r="599" ht="15.75" customHeight="1">
      <c r="H599" s="1"/>
    </row>
    <row r="600" ht="15.75" customHeight="1">
      <c r="H600" s="1"/>
    </row>
    <row r="601" ht="15.75" customHeight="1">
      <c r="H601" s="1"/>
    </row>
    <row r="602" ht="15.75" customHeight="1">
      <c r="H602" s="1"/>
    </row>
    <row r="603" ht="15.75" customHeight="1">
      <c r="H603" s="1"/>
    </row>
    <row r="604" ht="15.75" customHeight="1">
      <c r="H604" s="1"/>
    </row>
    <row r="605" ht="15.75" customHeight="1">
      <c r="H605" s="1"/>
    </row>
    <row r="606" ht="15.75" customHeight="1">
      <c r="H606" s="1"/>
    </row>
    <row r="607" ht="15.75" customHeight="1">
      <c r="H607" s="1"/>
    </row>
    <row r="608" ht="15.75" customHeight="1">
      <c r="H608" s="1"/>
    </row>
    <row r="609" ht="15.75" customHeight="1">
      <c r="H609" s="1"/>
    </row>
    <row r="610" ht="15.75" customHeight="1">
      <c r="H610" s="1"/>
    </row>
    <row r="611" ht="15.75" customHeight="1">
      <c r="H611" s="1"/>
    </row>
    <row r="612" ht="15.75" customHeight="1">
      <c r="H612" s="1"/>
    </row>
    <row r="613" ht="15.75" customHeight="1">
      <c r="H613" s="1"/>
    </row>
    <row r="614" ht="15.75" customHeight="1">
      <c r="H614" s="1"/>
    </row>
    <row r="615" ht="15.75" customHeight="1">
      <c r="H615" s="1"/>
    </row>
    <row r="616" ht="15.75" customHeight="1">
      <c r="H616" s="1"/>
    </row>
    <row r="617" ht="15.75" customHeight="1">
      <c r="H617" s="1"/>
    </row>
    <row r="618" ht="15.75" customHeight="1">
      <c r="H618" s="1"/>
    </row>
    <row r="619" ht="15.75" customHeight="1">
      <c r="H619" s="1"/>
    </row>
    <row r="620" ht="15.75" customHeight="1">
      <c r="H620" s="1"/>
    </row>
    <row r="621" ht="15.75" customHeight="1">
      <c r="H621" s="1"/>
    </row>
    <row r="622" ht="15.75" customHeight="1">
      <c r="H622" s="1"/>
    </row>
    <row r="623" ht="15.75" customHeight="1">
      <c r="H623" s="1"/>
    </row>
    <row r="624" ht="15.75" customHeight="1">
      <c r="H624" s="1"/>
    </row>
    <row r="625" ht="15.75" customHeight="1">
      <c r="H625" s="1"/>
    </row>
    <row r="626" ht="15.75" customHeight="1">
      <c r="H626" s="1"/>
    </row>
    <row r="627" ht="15.75" customHeight="1">
      <c r="H627" s="1"/>
    </row>
    <row r="628" ht="15.75" customHeight="1">
      <c r="H628" s="1"/>
    </row>
    <row r="629" ht="15.75" customHeight="1">
      <c r="H629" s="1"/>
    </row>
    <row r="630" ht="15.75" customHeight="1">
      <c r="H630" s="1"/>
    </row>
    <row r="631" ht="15.75" customHeight="1">
      <c r="H631" s="1"/>
    </row>
    <row r="632" ht="15.75" customHeight="1">
      <c r="H632" s="1"/>
    </row>
    <row r="633" ht="15.75" customHeight="1">
      <c r="H633" s="1"/>
    </row>
    <row r="634" ht="15.75" customHeight="1">
      <c r="H634" s="1"/>
    </row>
    <row r="635" ht="15.75" customHeight="1">
      <c r="H635" s="1"/>
    </row>
    <row r="636" ht="15.75" customHeight="1">
      <c r="H636" s="1"/>
    </row>
    <row r="637" ht="15.75" customHeight="1">
      <c r="H637" s="1"/>
    </row>
    <row r="638" ht="15.75" customHeight="1">
      <c r="H638" s="1"/>
    </row>
    <row r="639" ht="15.75" customHeight="1">
      <c r="H639" s="1"/>
    </row>
    <row r="640" ht="15.75" customHeight="1">
      <c r="H640" s="1"/>
    </row>
    <row r="641" ht="15.75" customHeight="1">
      <c r="H641" s="1"/>
    </row>
    <row r="642" ht="15.75" customHeight="1">
      <c r="H642" s="1"/>
    </row>
    <row r="643" ht="15.75" customHeight="1">
      <c r="H643" s="1"/>
    </row>
    <row r="644" ht="15.75" customHeight="1">
      <c r="H644" s="1"/>
    </row>
    <row r="645" ht="15.75" customHeight="1">
      <c r="H645" s="1"/>
    </row>
    <row r="646" ht="15.75" customHeight="1">
      <c r="H646" s="1"/>
    </row>
    <row r="647" ht="15.75" customHeight="1">
      <c r="H647" s="1"/>
    </row>
    <row r="648" ht="15.75" customHeight="1">
      <c r="H648" s="1"/>
    </row>
    <row r="649" ht="15.75" customHeight="1">
      <c r="H649" s="1"/>
    </row>
    <row r="650" ht="15.75" customHeight="1">
      <c r="H650" s="1"/>
    </row>
    <row r="651" ht="15.75" customHeight="1">
      <c r="H651" s="1"/>
    </row>
    <row r="652" ht="15.75" customHeight="1">
      <c r="H652" s="1"/>
    </row>
    <row r="653" ht="15.75" customHeight="1">
      <c r="H653" s="1"/>
    </row>
    <row r="654" ht="15.75" customHeight="1">
      <c r="H654" s="1"/>
    </row>
    <row r="655" ht="15.75" customHeight="1">
      <c r="H655" s="1"/>
    </row>
    <row r="656" ht="15.75" customHeight="1">
      <c r="H656" s="1"/>
    </row>
    <row r="657" ht="15.75" customHeight="1">
      <c r="H657" s="1"/>
    </row>
    <row r="658" ht="15.75" customHeight="1">
      <c r="H658" s="1"/>
    </row>
    <row r="659" ht="15.75" customHeight="1">
      <c r="H659" s="1"/>
    </row>
    <row r="660" ht="15.75" customHeight="1">
      <c r="H660" s="1"/>
    </row>
    <row r="661" ht="15.75" customHeight="1">
      <c r="H661" s="1"/>
    </row>
    <row r="662" ht="15.75" customHeight="1">
      <c r="H662" s="1"/>
    </row>
    <row r="663" ht="15.75" customHeight="1">
      <c r="H663" s="1"/>
    </row>
    <row r="664" ht="15.75" customHeight="1">
      <c r="H664" s="1"/>
    </row>
    <row r="665" ht="15.75" customHeight="1">
      <c r="H665" s="1"/>
    </row>
    <row r="666" ht="15.75" customHeight="1">
      <c r="H666" s="1"/>
    </row>
    <row r="667" ht="15.75" customHeight="1">
      <c r="H667" s="1"/>
    </row>
    <row r="668" ht="15.75" customHeight="1">
      <c r="H668" s="1"/>
    </row>
    <row r="669" ht="15.75" customHeight="1">
      <c r="H669" s="1"/>
    </row>
    <row r="670" ht="15.75" customHeight="1">
      <c r="H670" s="1"/>
    </row>
    <row r="671" ht="15.75" customHeight="1">
      <c r="H671" s="1"/>
    </row>
    <row r="672" ht="15.75" customHeight="1">
      <c r="H672" s="1"/>
    </row>
    <row r="673" ht="15.75" customHeight="1">
      <c r="H673" s="1"/>
    </row>
    <row r="674" ht="15.75" customHeight="1">
      <c r="H674" s="1"/>
    </row>
    <row r="675" ht="15.75" customHeight="1">
      <c r="H675" s="1"/>
    </row>
    <row r="676" ht="15.75" customHeight="1">
      <c r="H676" s="1"/>
    </row>
    <row r="677" ht="15.75" customHeight="1">
      <c r="H677" s="1"/>
    </row>
    <row r="678" ht="15.75" customHeight="1">
      <c r="H678" s="1"/>
    </row>
    <row r="679" ht="15.75" customHeight="1">
      <c r="H679" s="1"/>
    </row>
    <row r="680" ht="15.75" customHeight="1">
      <c r="H680" s="1"/>
    </row>
    <row r="681" ht="15.75" customHeight="1">
      <c r="H681" s="1"/>
    </row>
    <row r="682" ht="15.75" customHeight="1">
      <c r="H682" s="1"/>
    </row>
    <row r="683" ht="15.75" customHeight="1">
      <c r="H683" s="1"/>
    </row>
    <row r="684" ht="15.75" customHeight="1">
      <c r="H684" s="1"/>
    </row>
    <row r="685" ht="15.75" customHeight="1">
      <c r="H685" s="1"/>
    </row>
    <row r="686" ht="15.75" customHeight="1">
      <c r="H686" s="1"/>
    </row>
    <row r="687" ht="15.75" customHeight="1">
      <c r="H687" s="1"/>
    </row>
    <row r="688" ht="15.75" customHeight="1">
      <c r="H688" s="1"/>
    </row>
    <row r="689" ht="15.75" customHeight="1">
      <c r="H689" s="1"/>
    </row>
    <row r="690" ht="15.75" customHeight="1">
      <c r="H690" s="1"/>
    </row>
    <row r="691" ht="15.75" customHeight="1">
      <c r="H691" s="1"/>
    </row>
    <row r="692" ht="15.75" customHeight="1">
      <c r="H692" s="1"/>
    </row>
    <row r="693" ht="15.75" customHeight="1">
      <c r="H693" s="1"/>
    </row>
    <row r="694" ht="15.75" customHeight="1">
      <c r="H694" s="1"/>
    </row>
    <row r="695" ht="15.75" customHeight="1">
      <c r="H695" s="1"/>
    </row>
    <row r="696" ht="15.75" customHeight="1">
      <c r="H696" s="1"/>
    </row>
    <row r="697" ht="15.75" customHeight="1">
      <c r="H697" s="1"/>
    </row>
    <row r="698" ht="15.75" customHeight="1">
      <c r="H698" s="1"/>
    </row>
    <row r="699" ht="15.75" customHeight="1">
      <c r="H699" s="1"/>
    </row>
    <row r="700" ht="15.75" customHeight="1">
      <c r="H700" s="1"/>
    </row>
    <row r="701" ht="15.75" customHeight="1">
      <c r="H701" s="1"/>
    </row>
    <row r="702" ht="15.75" customHeight="1">
      <c r="H702" s="1"/>
    </row>
    <row r="703" ht="15.75" customHeight="1">
      <c r="H703" s="1"/>
    </row>
    <row r="704" ht="15.75" customHeight="1">
      <c r="H704" s="1"/>
    </row>
    <row r="705" ht="15.75" customHeight="1">
      <c r="H705" s="1"/>
    </row>
    <row r="706" ht="15.75" customHeight="1">
      <c r="H706" s="1"/>
    </row>
    <row r="707" ht="15.75" customHeight="1">
      <c r="H707" s="1"/>
    </row>
    <row r="708" ht="15.75" customHeight="1">
      <c r="H708" s="1"/>
    </row>
    <row r="709" ht="15.75" customHeight="1">
      <c r="H709" s="1"/>
    </row>
    <row r="710" ht="15.75" customHeight="1">
      <c r="H710" s="1"/>
    </row>
    <row r="711" ht="15.75" customHeight="1">
      <c r="H711" s="1"/>
    </row>
    <row r="712" ht="15.75" customHeight="1">
      <c r="H712" s="1"/>
    </row>
    <row r="713" ht="15.75" customHeight="1">
      <c r="H713" s="1"/>
    </row>
    <row r="714" ht="15.75" customHeight="1">
      <c r="H714" s="1"/>
    </row>
    <row r="715" ht="15.75" customHeight="1">
      <c r="H715" s="1"/>
    </row>
    <row r="716" ht="15.75" customHeight="1">
      <c r="H716" s="1"/>
    </row>
    <row r="717" ht="15.75" customHeight="1">
      <c r="H717" s="1"/>
    </row>
    <row r="718" ht="15.75" customHeight="1">
      <c r="H718" s="1"/>
    </row>
    <row r="719" ht="15.75" customHeight="1">
      <c r="H719" s="1"/>
    </row>
    <row r="720" ht="15.75" customHeight="1">
      <c r="H720" s="1"/>
    </row>
    <row r="721" ht="15.75" customHeight="1">
      <c r="H721" s="1"/>
    </row>
    <row r="722" ht="15.75" customHeight="1">
      <c r="H722" s="1"/>
    </row>
    <row r="723" ht="15.75" customHeight="1">
      <c r="H723" s="1"/>
    </row>
    <row r="724" ht="15.75" customHeight="1">
      <c r="H724" s="1"/>
    </row>
    <row r="725" ht="15.75" customHeight="1">
      <c r="H725" s="1"/>
    </row>
    <row r="726" ht="15.75" customHeight="1">
      <c r="H726" s="1"/>
    </row>
    <row r="727" ht="15.75" customHeight="1">
      <c r="H727" s="1"/>
    </row>
    <row r="728" ht="15.75" customHeight="1">
      <c r="H728" s="1"/>
    </row>
    <row r="729" ht="15.75" customHeight="1">
      <c r="H729" s="1"/>
    </row>
    <row r="730" ht="15.75" customHeight="1">
      <c r="H730" s="1"/>
    </row>
    <row r="731" ht="15.75" customHeight="1">
      <c r="H731" s="1"/>
    </row>
    <row r="732" ht="15.75" customHeight="1">
      <c r="H732" s="1"/>
    </row>
    <row r="733" ht="15.75" customHeight="1">
      <c r="H733" s="1"/>
    </row>
    <row r="734" ht="15.75" customHeight="1">
      <c r="H734" s="1"/>
    </row>
    <row r="735" ht="15.75" customHeight="1">
      <c r="H735" s="1"/>
    </row>
    <row r="736" ht="15.75" customHeight="1">
      <c r="H736" s="1"/>
    </row>
    <row r="737" ht="15.75" customHeight="1">
      <c r="H737" s="1"/>
    </row>
    <row r="738" ht="15.75" customHeight="1">
      <c r="H738" s="1"/>
    </row>
    <row r="739" ht="15.75" customHeight="1">
      <c r="H739" s="1"/>
    </row>
    <row r="740" ht="15.75" customHeight="1">
      <c r="H740" s="1"/>
    </row>
    <row r="741" ht="15.75" customHeight="1">
      <c r="H741" s="1"/>
    </row>
    <row r="742" ht="15.75" customHeight="1">
      <c r="H742" s="1"/>
    </row>
    <row r="743" ht="15.75" customHeight="1">
      <c r="H743" s="1"/>
    </row>
    <row r="744" ht="15.75" customHeight="1">
      <c r="H744" s="1"/>
    </row>
    <row r="745" ht="15.75" customHeight="1">
      <c r="H745" s="1"/>
    </row>
    <row r="746" ht="15.75" customHeight="1">
      <c r="H746" s="1"/>
    </row>
    <row r="747" ht="15.75" customHeight="1">
      <c r="H747" s="1"/>
    </row>
    <row r="748" ht="15.75" customHeight="1">
      <c r="H748" s="1"/>
    </row>
    <row r="749" ht="15.75" customHeight="1">
      <c r="H749" s="1"/>
    </row>
    <row r="750" ht="15.75" customHeight="1">
      <c r="H750" s="1"/>
    </row>
    <row r="751" ht="15.75" customHeight="1">
      <c r="H751" s="1"/>
    </row>
    <row r="752" ht="15.75" customHeight="1">
      <c r="H752" s="1"/>
    </row>
    <row r="753" ht="15.75" customHeight="1">
      <c r="H753" s="1"/>
    </row>
    <row r="754" ht="15.75" customHeight="1">
      <c r="H754" s="1"/>
    </row>
    <row r="755" ht="15.75" customHeight="1">
      <c r="H755" s="1"/>
    </row>
    <row r="756" ht="15.75" customHeight="1">
      <c r="H756" s="1"/>
    </row>
    <row r="757" ht="15.75" customHeight="1">
      <c r="H757" s="1"/>
    </row>
    <row r="758" ht="15.75" customHeight="1">
      <c r="H758" s="1"/>
    </row>
    <row r="759" ht="15.75" customHeight="1">
      <c r="H759" s="1"/>
    </row>
    <row r="760" ht="15.75" customHeight="1">
      <c r="H760" s="1"/>
    </row>
    <row r="761" ht="15.75" customHeight="1">
      <c r="H761" s="1"/>
    </row>
    <row r="762" ht="15.75" customHeight="1">
      <c r="H762" s="1"/>
    </row>
    <row r="763" ht="15.75" customHeight="1">
      <c r="H763" s="1"/>
    </row>
    <row r="764" ht="15.75" customHeight="1">
      <c r="H764" s="1"/>
    </row>
    <row r="765" ht="15.75" customHeight="1">
      <c r="H765" s="1"/>
    </row>
    <row r="766" ht="15.75" customHeight="1">
      <c r="H766" s="1"/>
    </row>
    <row r="767" ht="15.75" customHeight="1">
      <c r="H767" s="1"/>
    </row>
    <row r="768" ht="15.75" customHeight="1">
      <c r="H768" s="1"/>
    </row>
    <row r="769" ht="15.75" customHeight="1">
      <c r="H769" s="1"/>
    </row>
    <row r="770" ht="15.75" customHeight="1">
      <c r="H770" s="1"/>
    </row>
    <row r="771" ht="15.75" customHeight="1">
      <c r="H771" s="1"/>
    </row>
    <row r="772" ht="15.75" customHeight="1">
      <c r="H772" s="1"/>
    </row>
    <row r="773" ht="15.75" customHeight="1">
      <c r="H773" s="1"/>
    </row>
    <row r="774" ht="15.75" customHeight="1">
      <c r="H774" s="1"/>
    </row>
    <row r="775" ht="15.75" customHeight="1">
      <c r="H775" s="1"/>
    </row>
    <row r="776" ht="15.75" customHeight="1">
      <c r="H776" s="1"/>
    </row>
    <row r="777" ht="15.75" customHeight="1">
      <c r="H777" s="1"/>
    </row>
    <row r="778" ht="15.75" customHeight="1">
      <c r="H778" s="1"/>
    </row>
    <row r="779" ht="15.75" customHeight="1">
      <c r="H779" s="1"/>
    </row>
    <row r="780" ht="15.75" customHeight="1">
      <c r="H780" s="1"/>
    </row>
    <row r="781" ht="15.75" customHeight="1">
      <c r="H781" s="1"/>
    </row>
    <row r="782" ht="15.75" customHeight="1">
      <c r="H782" s="1"/>
    </row>
    <row r="783" ht="15.75" customHeight="1">
      <c r="H783" s="1"/>
    </row>
    <row r="784" ht="15.75" customHeight="1">
      <c r="H784" s="1"/>
    </row>
    <row r="785" ht="15.75" customHeight="1">
      <c r="H785" s="1"/>
    </row>
    <row r="786" ht="15.75" customHeight="1">
      <c r="H786" s="1"/>
    </row>
    <row r="787" ht="15.75" customHeight="1">
      <c r="H787" s="1"/>
    </row>
    <row r="788" ht="15.75" customHeight="1">
      <c r="H788" s="1"/>
    </row>
    <row r="789" ht="15.75" customHeight="1">
      <c r="H789" s="1"/>
    </row>
    <row r="790" ht="15.75" customHeight="1">
      <c r="H790" s="1"/>
    </row>
    <row r="791" ht="15.75" customHeight="1">
      <c r="H791" s="1"/>
    </row>
    <row r="792" ht="15.75" customHeight="1">
      <c r="H792" s="1"/>
    </row>
    <row r="793" ht="15.75" customHeight="1">
      <c r="H793" s="1"/>
    </row>
    <row r="794" ht="15.75" customHeight="1">
      <c r="H794" s="1"/>
    </row>
    <row r="795" ht="15.75" customHeight="1">
      <c r="H795" s="1"/>
    </row>
    <row r="796" ht="15.75" customHeight="1">
      <c r="H796" s="1"/>
    </row>
    <row r="797" ht="15.75" customHeight="1">
      <c r="H797" s="1"/>
    </row>
    <row r="798" ht="15.75" customHeight="1">
      <c r="H798" s="1"/>
    </row>
    <row r="799" ht="15.75" customHeight="1">
      <c r="H799" s="1"/>
    </row>
    <row r="800" ht="15.75" customHeight="1">
      <c r="H800" s="1"/>
    </row>
    <row r="801" ht="15.75" customHeight="1">
      <c r="H801" s="1"/>
    </row>
    <row r="802" ht="15.75" customHeight="1">
      <c r="H802" s="1"/>
    </row>
    <row r="803" ht="15.75" customHeight="1">
      <c r="H803" s="1"/>
    </row>
    <row r="804" ht="15.75" customHeight="1">
      <c r="H804" s="1"/>
    </row>
    <row r="805" ht="15.75" customHeight="1">
      <c r="H805" s="1"/>
    </row>
    <row r="806" ht="15.75" customHeight="1">
      <c r="H806" s="1"/>
    </row>
    <row r="807" ht="15.75" customHeight="1">
      <c r="H807" s="1"/>
    </row>
    <row r="808" ht="15.75" customHeight="1">
      <c r="H808" s="1"/>
    </row>
    <row r="809" ht="15.75" customHeight="1">
      <c r="H809" s="1"/>
    </row>
    <row r="810" ht="15.75" customHeight="1">
      <c r="H810" s="1"/>
    </row>
    <row r="811" ht="15.75" customHeight="1">
      <c r="H811" s="1"/>
    </row>
    <row r="812" ht="15.75" customHeight="1">
      <c r="H812" s="1"/>
    </row>
    <row r="813" ht="15.75" customHeight="1">
      <c r="H813" s="1"/>
    </row>
    <row r="814" ht="15.75" customHeight="1">
      <c r="H814" s="1"/>
    </row>
    <row r="815" ht="15.75" customHeight="1">
      <c r="H815" s="1"/>
    </row>
    <row r="816" ht="15.75" customHeight="1">
      <c r="H816" s="1"/>
    </row>
    <row r="817" ht="15.75" customHeight="1">
      <c r="H817" s="1"/>
    </row>
    <row r="818" ht="15.75" customHeight="1">
      <c r="H818" s="1"/>
    </row>
    <row r="819" ht="15.75" customHeight="1">
      <c r="H819" s="1"/>
    </row>
    <row r="820" ht="15.75" customHeight="1">
      <c r="H820" s="1"/>
    </row>
    <row r="821" ht="15.75" customHeight="1">
      <c r="H821" s="1"/>
    </row>
    <row r="822" ht="15.75" customHeight="1">
      <c r="H822" s="1"/>
    </row>
    <row r="823" ht="15.75" customHeight="1">
      <c r="H823" s="1"/>
    </row>
    <row r="824" ht="15.75" customHeight="1">
      <c r="H824" s="1"/>
    </row>
    <row r="825" ht="15.75" customHeight="1">
      <c r="H825" s="1"/>
    </row>
    <row r="826" ht="15.75" customHeight="1">
      <c r="H826" s="1"/>
    </row>
    <row r="827" ht="15.75" customHeight="1">
      <c r="H827" s="1"/>
    </row>
    <row r="828" ht="15.75" customHeight="1">
      <c r="H828" s="1"/>
    </row>
    <row r="829" ht="15.75" customHeight="1">
      <c r="H829" s="1"/>
    </row>
    <row r="830" ht="15.75" customHeight="1">
      <c r="H830" s="1"/>
    </row>
    <row r="831" ht="15.75" customHeight="1">
      <c r="H831" s="1"/>
    </row>
    <row r="832" ht="15.75" customHeight="1">
      <c r="H832" s="1"/>
    </row>
    <row r="833" ht="15.75" customHeight="1">
      <c r="H833" s="1"/>
    </row>
    <row r="834" ht="15.75" customHeight="1">
      <c r="H834" s="1"/>
    </row>
    <row r="835" ht="15.75" customHeight="1">
      <c r="H835" s="1"/>
    </row>
    <row r="836" ht="15.75" customHeight="1">
      <c r="H836" s="1"/>
    </row>
    <row r="837" ht="15.75" customHeight="1">
      <c r="H837" s="1"/>
    </row>
    <row r="838" ht="15.75" customHeight="1">
      <c r="H838" s="1"/>
    </row>
    <row r="839" ht="15.75" customHeight="1">
      <c r="H839" s="1"/>
    </row>
    <row r="840" ht="15.75" customHeight="1">
      <c r="H840" s="1"/>
    </row>
    <row r="841" ht="15.75" customHeight="1">
      <c r="H841" s="1"/>
    </row>
    <row r="842" ht="15.75" customHeight="1">
      <c r="H842" s="1"/>
    </row>
    <row r="843" ht="15.75" customHeight="1">
      <c r="H843" s="1"/>
    </row>
    <row r="844" ht="15.75" customHeight="1">
      <c r="H844" s="1"/>
    </row>
    <row r="845" ht="15.75" customHeight="1">
      <c r="H845" s="1"/>
    </row>
    <row r="846" ht="15.75" customHeight="1">
      <c r="H846" s="1"/>
    </row>
    <row r="847" ht="15.75" customHeight="1">
      <c r="H847" s="1"/>
    </row>
    <row r="848" ht="15.75" customHeight="1">
      <c r="H848" s="1"/>
    </row>
    <row r="849" ht="15.75" customHeight="1">
      <c r="H849" s="1"/>
    </row>
    <row r="850" ht="15.75" customHeight="1">
      <c r="H850" s="1"/>
    </row>
    <row r="851" ht="15.75" customHeight="1">
      <c r="H851" s="1"/>
    </row>
    <row r="852" ht="15.75" customHeight="1">
      <c r="H852" s="1"/>
    </row>
    <row r="853" ht="15.75" customHeight="1">
      <c r="H853" s="1"/>
    </row>
    <row r="854" ht="15.75" customHeight="1">
      <c r="H854" s="1"/>
    </row>
    <row r="855" ht="15.75" customHeight="1">
      <c r="H855" s="1"/>
    </row>
    <row r="856" ht="15.75" customHeight="1">
      <c r="H856" s="1"/>
    </row>
    <row r="857" ht="15.75" customHeight="1">
      <c r="H857" s="1"/>
    </row>
    <row r="858" ht="15.75" customHeight="1">
      <c r="H858" s="1"/>
    </row>
    <row r="859" ht="15.75" customHeight="1">
      <c r="H859" s="1"/>
    </row>
    <row r="860" ht="15.75" customHeight="1">
      <c r="H860" s="1"/>
    </row>
    <row r="861" ht="15.75" customHeight="1">
      <c r="H861" s="1"/>
    </row>
    <row r="862" ht="15.75" customHeight="1">
      <c r="H862" s="1"/>
    </row>
    <row r="863" ht="15.75" customHeight="1">
      <c r="H863" s="1"/>
    </row>
    <row r="864" ht="15.75" customHeight="1">
      <c r="H864" s="1"/>
    </row>
    <row r="865" ht="15.75" customHeight="1">
      <c r="H865" s="1"/>
    </row>
    <row r="866" ht="15.75" customHeight="1">
      <c r="H866" s="1"/>
    </row>
    <row r="867" ht="15.75" customHeight="1">
      <c r="H867" s="1"/>
    </row>
    <row r="868" ht="15.75" customHeight="1">
      <c r="H868" s="1"/>
    </row>
    <row r="869" ht="15.75" customHeight="1">
      <c r="H869" s="1"/>
    </row>
    <row r="870" ht="15.75" customHeight="1">
      <c r="H870" s="1"/>
    </row>
    <row r="871" ht="15.75" customHeight="1">
      <c r="H871" s="1"/>
    </row>
    <row r="872" ht="15.75" customHeight="1">
      <c r="H872" s="1"/>
    </row>
    <row r="873" ht="15.75" customHeight="1">
      <c r="H873" s="1"/>
    </row>
    <row r="874" ht="15.75" customHeight="1">
      <c r="H874" s="1"/>
    </row>
    <row r="875" ht="15.75" customHeight="1">
      <c r="H875" s="1"/>
    </row>
    <row r="876" ht="15.75" customHeight="1">
      <c r="H876" s="1"/>
    </row>
    <row r="877" ht="15.75" customHeight="1">
      <c r="H877" s="1"/>
    </row>
    <row r="878" ht="15.75" customHeight="1">
      <c r="H878" s="1"/>
    </row>
    <row r="879" ht="15.75" customHeight="1">
      <c r="H879" s="1"/>
    </row>
    <row r="880" ht="15.75" customHeight="1">
      <c r="H880" s="1"/>
    </row>
    <row r="881" ht="15.75" customHeight="1">
      <c r="H881" s="1"/>
    </row>
    <row r="882" ht="15.75" customHeight="1">
      <c r="H882" s="1"/>
    </row>
    <row r="883" ht="15.75" customHeight="1">
      <c r="H883" s="1"/>
    </row>
    <row r="884" ht="15.75" customHeight="1">
      <c r="H884" s="1"/>
    </row>
    <row r="885" ht="15.75" customHeight="1">
      <c r="H885" s="1"/>
    </row>
    <row r="886" ht="15.75" customHeight="1">
      <c r="H886" s="1"/>
    </row>
    <row r="887" ht="15.75" customHeight="1">
      <c r="H887" s="1"/>
    </row>
    <row r="888" ht="15.75" customHeight="1">
      <c r="H888" s="1"/>
    </row>
    <row r="889" ht="15.75" customHeight="1">
      <c r="H889" s="1"/>
    </row>
    <row r="890" ht="15.75" customHeight="1">
      <c r="H890" s="1"/>
    </row>
    <row r="891" ht="15.75" customHeight="1">
      <c r="H891" s="1"/>
    </row>
    <row r="892" ht="15.75" customHeight="1">
      <c r="H892" s="1"/>
    </row>
    <row r="893" ht="15.75" customHeight="1">
      <c r="H893" s="1"/>
    </row>
    <row r="894" ht="15.75" customHeight="1">
      <c r="H894" s="1"/>
    </row>
    <row r="895" ht="15.75" customHeight="1">
      <c r="H895" s="1"/>
    </row>
    <row r="896" ht="15.75" customHeight="1">
      <c r="H896" s="1"/>
    </row>
    <row r="897" ht="15.75" customHeight="1">
      <c r="H897" s="1"/>
    </row>
    <row r="898" ht="15.75" customHeight="1">
      <c r="H898" s="1"/>
    </row>
    <row r="899" ht="15.75" customHeight="1">
      <c r="H899" s="1"/>
    </row>
    <row r="900" ht="15.75" customHeight="1">
      <c r="H900" s="1"/>
    </row>
    <row r="901" ht="15.75" customHeight="1">
      <c r="H901" s="1"/>
    </row>
    <row r="902" ht="15.75" customHeight="1">
      <c r="H902" s="1"/>
    </row>
    <row r="903" ht="15.75" customHeight="1">
      <c r="H903" s="1"/>
    </row>
    <row r="904" ht="15.75" customHeight="1">
      <c r="H904" s="1"/>
    </row>
    <row r="905" ht="15.75" customHeight="1">
      <c r="H905" s="1"/>
    </row>
    <row r="906" ht="15.75" customHeight="1">
      <c r="H906" s="1"/>
    </row>
    <row r="907" ht="15.75" customHeight="1">
      <c r="H907" s="1"/>
    </row>
    <row r="908" ht="15.75" customHeight="1">
      <c r="H908" s="1"/>
    </row>
    <row r="909" ht="15.75" customHeight="1">
      <c r="H909" s="1"/>
    </row>
    <row r="910" ht="15.75" customHeight="1">
      <c r="H910" s="1"/>
    </row>
    <row r="911" ht="15.75" customHeight="1">
      <c r="H911" s="1"/>
    </row>
    <row r="912" ht="15.75" customHeight="1">
      <c r="H912" s="1"/>
    </row>
    <row r="913" ht="15.75" customHeight="1">
      <c r="H913" s="1"/>
    </row>
    <row r="914" ht="15.75" customHeight="1">
      <c r="H914" s="1"/>
    </row>
    <row r="915" ht="15.75" customHeight="1">
      <c r="H915" s="1"/>
    </row>
    <row r="916" ht="15.75" customHeight="1">
      <c r="H916" s="1"/>
    </row>
    <row r="917" ht="15.75" customHeight="1">
      <c r="H917" s="1"/>
    </row>
    <row r="918" ht="15.75" customHeight="1">
      <c r="H918" s="1"/>
    </row>
    <row r="919" ht="15.75" customHeight="1">
      <c r="H919" s="1"/>
    </row>
    <row r="920" ht="15.75" customHeight="1">
      <c r="H920" s="1"/>
    </row>
    <row r="921" ht="15.75" customHeight="1">
      <c r="H921" s="1"/>
    </row>
    <row r="922" ht="15.75" customHeight="1">
      <c r="H922" s="1"/>
    </row>
    <row r="923" ht="15.75" customHeight="1">
      <c r="H923" s="1"/>
    </row>
    <row r="924" ht="15.75" customHeight="1">
      <c r="H924" s="1"/>
    </row>
    <row r="925" ht="15.75" customHeight="1">
      <c r="H925" s="1"/>
    </row>
    <row r="926" ht="15.75" customHeight="1">
      <c r="H926" s="1"/>
    </row>
    <row r="927" ht="15.75" customHeight="1">
      <c r="H927" s="1"/>
    </row>
    <row r="928" ht="15.75" customHeight="1">
      <c r="H928" s="1"/>
    </row>
    <row r="929" ht="15.75" customHeight="1">
      <c r="H929" s="1"/>
    </row>
    <row r="930" ht="15.75" customHeight="1">
      <c r="H930" s="1"/>
    </row>
    <row r="931" ht="15.75" customHeight="1">
      <c r="H931" s="1"/>
    </row>
    <row r="932" ht="15.75" customHeight="1">
      <c r="H932" s="1"/>
    </row>
    <row r="933" ht="15.75" customHeight="1">
      <c r="H933" s="1"/>
    </row>
    <row r="934" ht="15.75" customHeight="1">
      <c r="H934" s="1"/>
    </row>
    <row r="935" ht="15.75" customHeight="1">
      <c r="H935" s="1"/>
    </row>
    <row r="936" ht="15.75" customHeight="1">
      <c r="H936" s="1"/>
    </row>
    <row r="937" ht="15.75" customHeight="1">
      <c r="H937" s="1"/>
    </row>
    <row r="938" ht="15.75" customHeight="1">
      <c r="H938" s="1"/>
    </row>
    <row r="939" ht="15.75" customHeight="1">
      <c r="H939" s="1"/>
    </row>
    <row r="940" ht="15.75" customHeight="1">
      <c r="H940" s="1"/>
    </row>
    <row r="941" ht="15.75" customHeight="1">
      <c r="H941" s="1"/>
    </row>
    <row r="942" ht="15.75" customHeight="1">
      <c r="H942" s="1"/>
    </row>
    <row r="943" ht="15.75" customHeight="1">
      <c r="H943" s="1"/>
    </row>
    <row r="944" ht="15.75" customHeight="1">
      <c r="H944" s="1"/>
    </row>
    <row r="945" ht="15.75" customHeight="1">
      <c r="H945" s="1"/>
    </row>
    <row r="946" ht="15.75" customHeight="1">
      <c r="H946" s="1"/>
    </row>
    <row r="947" ht="15.75" customHeight="1">
      <c r="H947" s="1"/>
    </row>
    <row r="948" ht="15.75" customHeight="1">
      <c r="H948" s="1"/>
    </row>
    <row r="949" ht="15.75" customHeight="1">
      <c r="H949" s="1"/>
    </row>
    <row r="950" ht="15.75" customHeight="1">
      <c r="H950" s="1"/>
    </row>
    <row r="951" ht="15.75" customHeight="1">
      <c r="H951" s="1"/>
    </row>
    <row r="952" ht="15.75" customHeight="1">
      <c r="H952" s="1"/>
    </row>
    <row r="953" ht="15.75" customHeight="1">
      <c r="H953" s="1"/>
    </row>
    <row r="954" ht="15.75" customHeight="1">
      <c r="H954" s="1"/>
    </row>
    <row r="955" ht="15.75" customHeight="1">
      <c r="H955" s="1"/>
    </row>
    <row r="956" ht="15.75" customHeight="1">
      <c r="H956" s="1"/>
    </row>
    <row r="957" ht="15.75" customHeight="1">
      <c r="H957" s="1"/>
    </row>
    <row r="958" ht="15.75" customHeight="1">
      <c r="H958" s="1"/>
    </row>
    <row r="959" ht="15.75" customHeight="1">
      <c r="H959" s="1"/>
    </row>
    <row r="960" ht="15.75" customHeight="1">
      <c r="H960" s="1"/>
    </row>
    <row r="961" ht="15.75" customHeight="1">
      <c r="H961" s="1"/>
    </row>
    <row r="962" ht="15.75" customHeight="1">
      <c r="H962" s="1"/>
    </row>
    <row r="963" ht="15.75" customHeight="1">
      <c r="H963" s="1"/>
    </row>
    <row r="964" ht="15.75" customHeight="1">
      <c r="H964" s="1"/>
    </row>
    <row r="965" ht="15.75" customHeight="1">
      <c r="H965" s="1"/>
    </row>
    <row r="966" ht="15.75" customHeight="1">
      <c r="H966" s="1"/>
    </row>
    <row r="967" ht="15.75" customHeight="1">
      <c r="H967" s="1"/>
    </row>
    <row r="968" ht="15.75" customHeight="1">
      <c r="H968" s="1"/>
    </row>
    <row r="969" ht="15.75" customHeight="1">
      <c r="H969" s="1"/>
    </row>
    <row r="970" ht="15.75" customHeight="1">
      <c r="H970" s="1"/>
    </row>
    <row r="971" ht="15.75" customHeight="1">
      <c r="H971" s="1"/>
    </row>
    <row r="972" ht="15.75" customHeight="1">
      <c r="H972" s="1"/>
    </row>
    <row r="973" ht="15.75" customHeight="1">
      <c r="H973" s="1"/>
    </row>
  </sheetData>
  <mergeCells count="31">
    <mergeCell ref="B2:H2"/>
    <mergeCell ref="C4:H4"/>
    <mergeCell ref="E5:H5"/>
    <mergeCell ref="H7:H10"/>
    <mergeCell ref="C12:H12"/>
    <mergeCell ref="E13:H13"/>
    <mergeCell ref="H15:H18"/>
    <mergeCell ref="H31:H34"/>
    <mergeCell ref="H39:H42"/>
    <mergeCell ref="H47:H50"/>
    <mergeCell ref="H55:H58"/>
    <mergeCell ref="H63:H66"/>
    <mergeCell ref="H71:H74"/>
    <mergeCell ref="H79:H82"/>
    <mergeCell ref="C20:H20"/>
    <mergeCell ref="E21:H21"/>
    <mergeCell ref="H23:H26"/>
    <mergeCell ref="C28:H28"/>
    <mergeCell ref="E29:H29"/>
    <mergeCell ref="C36:H36"/>
    <mergeCell ref="E37:H37"/>
    <mergeCell ref="E69:H69"/>
    <mergeCell ref="C76:H76"/>
    <mergeCell ref="E77:H77"/>
    <mergeCell ref="C44:H44"/>
    <mergeCell ref="E45:H45"/>
    <mergeCell ref="C52:H52"/>
    <mergeCell ref="E53:H53"/>
    <mergeCell ref="C60:H60"/>
    <mergeCell ref="E61:H61"/>
    <mergeCell ref="C68:H68"/>
  </mergeCells>
  <dataValidations>
    <dataValidation type="decimal" operator="lessThanOrEqual" allowBlank="1" showDropDown="1" showErrorMessage="1" sqref="C5 C13 C21 C29 C37 C45 C53 C61 C69 C77">
      <formula1>4.0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2026-05-04T16:39:58Z</dcterms:created>
  <dc:creator>Camilo's PC</dc:creator>
</cp:coreProperties>
</file>